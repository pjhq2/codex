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요약" sheetId="1" r:id="rId1"/>
    <sheet name="송신기_Tx" sheetId="2" r:id="rId2"/>
    <sheet name="수신기_Rx" sheetId="3" r:id="rId3"/>
    <sheet name="실행_체크리스트" sheetId="4" r:id="rId4"/>
    <sheet name="범위_출처" sheetId="5" r:id="rId5"/>
  </sheets>
  <definedNames>
    <definedName name="_xlnm._FilterDatabase" localSheetId="1" hidden="1">송신기_Tx!$A$4:$H$47</definedName>
    <definedName name="_xlnm._FilterDatabase" localSheetId="2" hidden="1">수신기_Rx!$A$4:$H$55</definedName>
    <definedName name="_xlnm._FilterDatabase" localSheetId="3" hidden="1">실행_체크리스트!$A$4:$O$98</definedName>
    <definedName name="_xlnm.Print_Area" localSheetId="4">범위_출처!$A$1:$F$28</definedName>
    <definedName name="_xlnm.Print_Area" localSheetId="1">송신기_Tx!$A$1:$G$47</definedName>
    <definedName name="_xlnm.Print_Area" localSheetId="2">수신기_Rx!$A$1:$G$55</definedName>
    <definedName name="_xlnm.Print_Area" localSheetId="3">실행_체크리스트!$A$1:$K$98</definedName>
    <definedName name="_xlnm.Print_Area" localSheetId="0">요약!$A$1:$H$32</definedName>
    <definedName name="_xlnm.Print_Titles" localSheetId="1">송신기_Tx!$4:$4</definedName>
    <definedName name="_xlnm.Print_Titles" localSheetId="2">수신기_Rx!$4:$4</definedName>
    <definedName name="_xlnm.Print_Titles" localSheetId="3">실행_체크리스트!$4:$4</definedName>
  </definedNames>
  <calcPr calcId="124519" fullCalcOnLoad="1"/>
</workbook>
</file>

<file path=xl/comments1.xml><?xml version="1.0" encoding="utf-8"?>
<comments xmlns="http://schemas.openxmlformats.org/spreadsheetml/2006/main">
  <authors>
    <author>OpenAI Codex</author>
  </authors>
  <commentList>
    <comment ref="B13" authorId="0">
      <text>
        <r>
          <rPr>
            <sz val="8"/>
            <color indexed="81"/>
            <rFont val="Tahoma"/>
            <family val="2"/>
          </rPr>
          <t>실행_체크리스트에서 ‘적용’으로 지정된 항목 중 상태가 ‘완료’인 항목의 비율입니다.</t>
        </r>
      </text>
    </comment>
  </commentList>
</comments>
</file>

<file path=xl/sharedStrings.xml><?xml version="1.0" encoding="utf-8"?>
<sst xmlns="http://schemas.openxmlformats.org/spreadsheetml/2006/main" count="2051" uniqueCount="534">
  <si>
    <t>MIPI DSI v1.3.1 CTS — 공개 범위 기반 테스트 정리</t>
  </si>
  <si>
    <t>MIPI 공식 페이지가 공개하는 v1.3.1 Receiver Protocol CTS와 Transmitter Protocol CTS 범위를 바탕으로, 공개된 DSI 기능 및 시험장비 coverage를 교차해 만든 실무용 체크리스트입니다. 공식 CTS 원문의 Test ID·Setup·Procedure·Pass/Fail criteria를 전사한 문서가 아니며 인증 판정에는 회원용 원문을 사용해야 합니다.</t>
  </si>
  <si>
    <t>총 테스트 항목</t>
  </si>
  <si>
    <t>송신기 (Tx)</t>
  </si>
  <si>
    <t>수신기 (Rx)</t>
  </si>
  <si>
    <t>P0 핵심 항목</t>
  </si>
  <si>
    <t>적용 항목</t>
  </si>
  <si>
    <t>완료</t>
  </si>
  <si>
    <t>Pass</t>
  </si>
  <si>
    <t>Fail</t>
  </si>
  <si>
    <t>진행률</t>
  </si>
  <si>
    <t>적용 여부, 상태, 결과는 ‘실행_체크리스트’에서 선택하세요. 조건부 항목은 기본값이 ‘검토 필요’입니다.</t>
  </si>
  <si>
    <t>그룹별 항목 수</t>
  </si>
  <si>
    <t>DUT</t>
  </si>
  <si>
    <t>그룹</t>
  </si>
  <si>
    <t>항목 수</t>
  </si>
  <si>
    <t>Tx</t>
  </si>
  <si>
    <t>1. 패킷 구조/식별</t>
  </si>
  <si>
    <t>Rx</t>
  </si>
  <si>
    <t>1. 패킷 수신/식별</t>
  </si>
  <si>
    <t>2. 오류 보호</t>
  </si>
  <si>
    <t>2. 오류 검출/보고</t>
  </si>
  <si>
    <t>3. Command Mode</t>
  </si>
  <si>
    <t>3. Command Mode/응답</t>
  </si>
  <si>
    <t>4. BTA/응답</t>
  </si>
  <si>
    <t>4. BTA/버스 소유권</t>
  </si>
  <si>
    <t>5. Video Mode/타이밍</t>
  </si>
  <si>
    <t>6. 픽셀 포맷/멀티 Lane</t>
  </si>
  <si>
    <t>7. 압축(선택)</t>
  </si>
  <si>
    <t>8. LP/HS/전력 상태</t>
  </si>
  <si>
    <t>범위 해석</t>
  </si>
  <si>
    <t>포함</t>
  </si>
  <si>
    <t>DSI 프로토콜: packet/header/footer, ECC/CRC, command/read/BTA, video mode, pixel packing, LP/HS 관련 protocol sequence</t>
  </si>
  <si>
    <t>조건부</t>
  </si>
  <si>
    <t>Virtual Channel, EoTp, ULPS, read response, 특정 pixel format, 압축 등 DUT가 해당 기능을 지원할 때 적용</t>
  </si>
  <si>
    <t>별도 검증</t>
  </si>
  <si>
    <t>D-PHY 전기적 특성·eye·jitter·voltage·PHY timing의 정량 합격 기준은 D-PHY CTS 영역으로 이 문서의 주 범위가 아님</t>
  </si>
  <si>
    <t>공식 판정</t>
  </si>
  <si>
    <t>회원용 MIPI CTS 원문의 Setup, Procedure, Results/Problems 및 Pass/Fail criteria로 최종 확인</t>
  </si>
  <si>
    <t>MIPI DSI v1.3.1 — 송신기(Host) Protocol 테스트</t>
  </si>
  <si>
    <t>Host/SoC의 출력 스트림을 분석해 packet 생성, command/video sequence, timing 및 오류 보호가 올바른지 확인하는 관점입니다.</t>
  </si>
  <si>
    <t>내부 ID는 공식 MIPI Test ID가 아닙니다. 적용 조건이 있는 행은 DUT capability 선언 및 회원용 CTS 원문으로 최종 적용 여부를 확인하세요.</t>
  </si>
  <si>
    <t>내부 ID</t>
  </si>
  <si>
    <t>테스트 항목</t>
  </si>
  <si>
    <t>간단한 설명</t>
  </si>
  <si>
    <t>시험에서 확인할 것</t>
  </si>
  <si>
    <t>적용 조건</t>
  </si>
  <si>
    <t>우선순위</t>
  </si>
  <si>
    <t>출처 URL</t>
  </si>
  <si>
    <t>AI-TX-PKT-01</t>
  </si>
  <si>
    <t>Short Packet 헤더</t>
  </si>
  <si>
    <t>Short Packet의 Data ID, 2-byte data field와 ECC를 생성한다.</t>
  </si>
  <si>
    <t>Data Type·Virtual Channel·파라미터·ECC가 규정 형식으로 전송되는지 확인한다.</t>
  </si>
  <si>
    <t>공통</t>
  </si>
  <si>
    <t>P0</t>
  </si>
  <si>
    <t>https://www.mipi.org/specifications/dsi</t>
  </si>
  <si>
    <t>AI-TX-PKT-02</t>
  </si>
  <si>
    <t>Long Packet 헤더/푸터</t>
  </si>
  <si>
    <t>Long Packet의 Word Count, payload, CRC를 포함한 packet boundary를 생성한다.</t>
  </si>
  <si>
    <t>Word Count와 실제 payload 길이가 일치하고 CRC 위치와 packet 종료가 정확한지 확인한다.</t>
  </si>
  <si>
    <t>AI-TX-PKT-03</t>
  </si>
  <si>
    <t>Data Type 인코딩</t>
  </si>
  <si>
    <t>명령·응답·비디오에 맞는 Data Type 값을 선택해 전송한다.</t>
  </si>
  <si>
    <t>지원 기능별 Data Type이 잘못 섞이거나 예약 값으로 전송되지 않는지 확인한다.</t>
  </si>
  <si>
    <t>https://www.synopsys.com/verification/verification-ip/mipi/mipi-dsi.html</t>
  </si>
  <si>
    <t>AI-TX-PKT-04</t>
  </si>
  <si>
    <t>Virtual Channel 인코딩</t>
  </si>
  <si>
    <t>패킷의 Virtual Channel 식별자를 구성한다.</t>
  </si>
  <si>
    <t>선언된 VC 값이 모든 관련 패킷에서 일관되고 다른 논리 스트림과 혼선이 없는지 확인한다.</t>
  </si>
  <si>
    <t>복수 VC 지원 시</t>
  </si>
  <si>
    <t>P1</t>
  </si>
  <si>
    <t>AI-TX-PKT-05</t>
  </si>
  <si>
    <t>한 HS 구간 내 복수 패킷</t>
  </si>
  <si>
    <t>하나의 High-Speed 전송 구간에서 여러 패킷을 연속 배치한다.</t>
  </si>
  <si>
    <t>각 packet boundary와 패킷 순서가 유지되고 중간 바이트 유실·삽입이 없는지 확인한다.</t>
  </si>
  <si>
    <t>지원 시</t>
  </si>
  <si>
    <t>AI-TX-PKT-06</t>
  </si>
  <si>
    <t>End-of-Transmission Packet</t>
  </si>
  <si>
    <t>EoTp가 활성화된 구성에서 전송 종료 패킷을 생성한다.</t>
  </si>
  <si>
    <t>EoTp의 Data Type·내용·위치가 정확하고 다음 전송과 경계가 분명한지 확인한다.</t>
  </si>
  <si>
    <t>EoTp 사용 시</t>
  </si>
  <si>
    <t>AI-TX-PKT-07</t>
  </si>
  <si>
    <t>예약/미지원 Data Type 억제</t>
  </si>
  <si>
    <t>정상 동작 중 예약 또는 미지원 Data Type을 생성하지 않는다.</t>
  </si>
  <si>
    <t>설정 오류나 경계 조건에서도 불법 패킷이 링크로 출력되지 않는지 확인한다.</t>
  </si>
  <si>
    <t>https://cdn.teledynelecroy.com/files/pdf/envision_x84_datasheet.pdf</t>
  </si>
  <si>
    <t>AI-TX-ERR-01</t>
  </si>
  <si>
    <t>Header ECC 생성</t>
  </si>
  <si>
    <t>모든 패킷 헤더에 대한 ECC를 계산한다.</t>
  </si>
  <si>
    <t>대표/경계 header 조합에서 계산된 ECC가 참조값과 일치하는지 확인한다.</t>
  </si>
  <si>
    <t>AI-TX-ERR-02</t>
  </si>
  <si>
    <t>Payload CRC 생성</t>
  </si>
  <si>
    <t>Long Packet payload에 대한 16-bit CRC를 생성한다.</t>
  </si>
  <si>
    <t>빈도 높은 길이와 최소·최대 지원 길이에서 CRC가 참조 계산과 일치하는지 확인한다.</t>
  </si>
  <si>
    <t>Long Packet</t>
  </si>
  <si>
    <t>AI-TX-CMD-01</t>
  </si>
  <si>
    <t>Generic Short Write</t>
  </si>
  <si>
    <t>0/1/2 parameter Generic Short Write를 전송한다.</t>
  </si>
  <si>
    <t>parameter 수에 맞는 Data Type과 header data field가 선택되는지 확인한다.</t>
  </si>
  <si>
    <t>Command Mode 지원 시</t>
  </si>
  <si>
    <t>AI-TX-CMD-02</t>
  </si>
  <si>
    <t>Generic Long Write</t>
  </si>
  <si>
    <t>가변 길이 Generic Long Write payload를 전송한다.</t>
  </si>
  <si>
    <t>Word Count·payload 순서·CRC가 정확하고 길이 경계에서 잘리지 않는지 확인한다.</t>
  </si>
  <si>
    <t>AI-TX-CMD-03</t>
  </si>
  <si>
    <t>Generic Read Request</t>
  </si>
  <si>
    <t>0/1/2 parameter Generic Read Request를 전송한다.</t>
  </si>
  <si>
    <t>요청 길이에 맞는 Data Type, 파라미터 및 뒤따르는 BTA가 정확한지 확인한다.</t>
  </si>
  <si>
    <t>Read 지원 시</t>
  </si>
  <si>
    <t>AI-TX-CMD-04</t>
  </si>
  <si>
    <t>DCS Short Write</t>
  </si>
  <si>
    <t>0/1 parameter DCS Short Write를 전송한다.</t>
  </si>
  <si>
    <t>DCS command와 parameter가 올바른 short packet 형식으로 전달되는지 확인한다.</t>
  </si>
  <si>
    <t>DCS 지원 시</t>
  </si>
  <si>
    <t>AI-TX-CMD-05</t>
  </si>
  <si>
    <t>DCS Long Write</t>
  </si>
  <si>
    <t>여러 parameter를 포함하는 DCS Long Write를 전송한다.</t>
  </si>
  <si>
    <t>command byte가 payload 선두에 있고 Word Count·CRC·payload 순서가 정확한지 확인한다.</t>
  </si>
  <si>
    <t>AI-TX-CMD-06</t>
  </si>
  <si>
    <t>DCS Read Request</t>
  </si>
  <si>
    <t>DCS Read Request와 응답 수신 절차를 시작한다.</t>
  </si>
  <si>
    <t>request packet, BTA 요청, 응답 대기 순서가 올바른지 확인한다.</t>
  </si>
  <si>
    <t>DCS Read 지원 시</t>
  </si>
  <si>
    <t>AI-TX-CMD-07</t>
  </si>
  <si>
    <t>Set Maximum Return Packet Size</t>
  </si>
  <si>
    <t>수신 가능한 최대 return packet 크기를 상대 장치에 알린다.</t>
  </si>
  <si>
    <t>설정값이 정확히 인코딩되고 후속 read response 길이 제한과 일치하는지 확인한다.</t>
  </si>
  <si>
    <t>AI-TX-CMD-08</t>
  </si>
  <si>
    <t>Peripheral 제어 패킷</t>
  </si>
  <si>
    <t>Shutdown, Turn On, Color Mode 등 지원하는 제어 패킷을 전송한다.</t>
  </si>
  <si>
    <t>선택한 제어 명령의 Data Type과 parameter가 의도한 상태 전환을 일으키는지 확인한다.</t>
  </si>
  <si>
    <t>해당 명령 지원 시</t>
  </si>
  <si>
    <t>AI-TX-CMD-09</t>
  </si>
  <si>
    <t>Command Mode Pixel Write</t>
  </si>
  <si>
    <t>Memory Write 계열 DCS 명령으로 화면 픽셀 데이터를 전송한다.</t>
  </si>
  <si>
    <t>주소 설정 이후 pixel payload의 시작·계속 전송·종료가 올바른지 확인한다.</t>
  </si>
  <si>
    <t>Command Mode Display</t>
  </si>
  <si>
    <t>https://docs.amd.com/r/en-US/pg238-mipi-dsi-tx/Verification-Compliance-and-Interoperability</t>
  </si>
  <si>
    <t>AI-TX-BTA-01</t>
  </si>
  <si>
    <t>Bus Turn-Around 요청</t>
  </si>
  <si>
    <t>읽기 또는 ACK 수신을 위해 버스 방향 전환을 요청한다.</t>
  </si>
  <si>
    <t>요청 시점과 lane ownership 전환이 정확하며 양쪽이 동시에 구동하지 않는지 확인한다.</t>
  </si>
  <si>
    <t>Read/BTA 지원 시</t>
  </si>
  <si>
    <t>AI-TX-BTA-02</t>
  </si>
  <si>
    <t>응답 대기 윈도우</t>
  </si>
  <si>
    <t>BTA 후 상대 장치의 short/long response를 기다린다.</t>
  </si>
  <si>
    <t>응답 시작 전 버스를 재점유하지 않고 timeout 조건을 올바르게 처리하는지 확인한다.</t>
  </si>
  <si>
    <t>AI-TX-BTA-03</t>
  </si>
  <si>
    <t>ACK and Error Report 수신</t>
  </si>
  <si>
    <t>상대 장치가 반환한 Acknowledge and Error Report를 해석한다.</t>
  </si>
  <si>
    <t>오류 비트가 원인별로 식별되어 상위 로직에 전달되고 정상 응답과 구분되는지 확인한다.</t>
  </si>
  <si>
    <t>ACK/Error Report 지원 시</t>
  </si>
  <si>
    <t>AI-TX-BTA-04</t>
  </si>
  <si>
    <t>Short/Long Read Response 수신</t>
  </si>
  <si>
    <t>Generic/DCS short 및 long read response를 수신한다.</t>
  </si>
  <si>
    <t>응답 Data Type·길이·CRC와 요청 간 대응이 정확한지 확인한다.</t>
  </si>
  <si>
    <t>AI-TX-VID-01</t>
  </si>
  <si>
    <t>Non-Burst with Sync Pulses</t>
  </si>
  <si>
    <t>HSS/HSE와 blanking 구간을 포함한 non-burst sync-pulse video를 전송한다.</t>
  </si>
  <si>
    <t>HSA·HBP·active·HFP 구간과 line time이 설정값에 맞는지 확인한다.</t>
  </si>
  <si>
    <t>해당 Video Mode 지원 시</t>
  </si>
  <si>
    <t>AI-TX-VID-02</t>
  </si>
  <si>
    <t>Non-Burst with Sync Events</t>
  </si>
  <si>
    <t>sync event 기반 non-burst video stream을 전송한다.</t>
  </si>
  <si>
    <t>HSS 중심의 line sequence와 active/blanking 배치가 규정 순서인지 확인한다.</t>
  </si>
  <si>
    <t>AI-TX-VID-03</t>
  </si>
  <si>
    <t>Burst Mode</t>
  </si>
  <si>
    <t>active pixel을 burst로 보내고 나머지 line time을 blanking으로 유지한다.</t>
  </si>
  <si>
    <t>burst 길이·전송률·line time과 blanking 시간이 설정값에 맞는지 확인한다.</t>
  </si>
  <si>
    <t>Burst Mode 지원 시</t>
  </si>
  <si>
    <t>AI-TX-VID-04</t>
  </si>
  <si>
    <t>수직 동기 시퀀스</t>
  </si>
  <si>
    <t>VSS/VSE 및 vertical back/front porch line sequence를 생성한다.</t>
  </si>
  <si>
    <t>프레임당 line 수와 VSA/VBP/VFP/active line 순서가 정확한지 확인한다.</t>
  </si>
  <si>
    <t>Video Mode 지원 시</t>
  </si>
  <si>
    <t>AI-TX-VID-05</t>
  </si>
  <si>
    <t>수평 동기 시퀀스</t>
  </si>
  <si>
    <t>각 line의 HSS/HSE와 horizontal blanking을 생성한다.</t>
  </si>
  <si>
    <t>모든 line에서 동기 event 누락·중복이 없고 active pixel 위치가 일정한지 확인한다.</t>
  </si>
  <si>
    <t>AI-TX-VID-06</t>
  </si>
  <si>
    <t>Blanking/Porch 구성</t>
  </si>
  <si>
    <t>H/V blanking과 front/back porch에 필요한 packet 또는 idle 시간을 배치한다.</t>
  </si>
  <si>
    <t>최소 timing, line/frame 총 길이 및 상대 장치 요구사항을 만족하는지 확인한다.</t>
  </si>
  <si>
    <t>AI-TX-VID-07</t>
  </si>
  <si>
    <t>Null Packet/Blanking Packet</t>
  </si>
  <si>
    <t>필요한 경우 남는 전송 시간을 Null Packet 등으로 채운다.</t>
  </si>
  <si>
    <t>Word Count와 CRC가 정확하고 active video로 오인되지 않는지 확인한다.</t>
  </si>
  <si>
    <t>사용 시</t>
  </si>
  <si>
    <t>AI-TX-VID-08</t>
  </si>
  <si>
    <t>연속 프레임 안정성</t>
  </si>
  <si>
    <t>여러 프레임을 연속 전송하며 packet/timing 일관성을 유지한다.</t>
  </si>
  <si>
    <t>frame boundary, frame rate, 누락·중복 line과 장시간 drift가 없는지 확인한다.</t>
  </si>
  <si>
    <t>AI-TX-PIX-01</t>
  </si>
  <si>
    <t>RGB565 전송</t>
  </si>
  <si>
    <t>16-bit RGB565 pixel stream을 패킹해 전송한다.</t>
  </si>
  <si>
    <t>색상 성분 bit 위치, pixel 순서, line payload 길이가 기준 영상과 일치하는지 확인한다.</t>
  </si>
  <si>
    <t>RGB565 지원 시</t>
  </si>
  <si>
    <t>AI-TX-PIX-02</t>
  </si>
  <si>
    <t>RGB666 Loosely Packed</t>
  </si>
  <si>
    <t>18-bit RGB666을 loosely packed 형식으로 전송한다.</t>
  </si>
  <si>
    <t>padding bit와 성분 정렬, pixel 순서 및 Word Count가 정확한지 확인한다.</t>
  </si>
  <si>
    <t>RGB666 Loose 지원 시</t>
  </si>
  <si>
    <t>AI-TX-PIX-03</t>
  </si>
  <si>
    <t>RGB666 Packed</t>
  </si>
  <si>
    <t>18-bit RGB666을 packed 형식으로 전송한다.</t>
  </si>
  <si>
    <t>4-pixel 단위 packing 경계와 line 끝 정렬이 정확한지 확인한다.</t>
  </si>
  <si>
    <t>RGB666 Packed 지원 시</t>
  </si>
  <si>
    <t>AI-TX-PIX-04</t>
  </si>
  <si>
    <t>RGB888 전송</t>
  </si>
  <si>
    <t>24-bit RGB888 pixel stream을 전송한다.</t>
  </si>
  <si>
    <t>R/G/B byte 순서, pixel 순서와 line payload 길이가 기준 영상과 일치하는지 확인한다.</t>
  </si>
  <si>
    <t>RGB888 지원 시</t>
  </si>
  <si>
    <t>AI-TX-PIX-05</t>
  </si>
  <si>
    <t>멀티 Lane Byte 분배</t>
  </si>
  <si>
    <t>packet byte stream을 활성 data lane 수에 맞게 분배한다.</t>
  </si>
  <si>
    <t>lane별 byte 순서, 첫/마지막 byte 위치와 재조합 결과가 원 packet과 같은지 확인한다.</t>
  </si>
  <si>
    <t>2개 이상 Lane 지원 시</t>
  </si>
  <si>
    <t>AI-TX-PIX-06</t>
  </si>
  <si>
    <t>Line 끝 Padding/정렬</t>
  </si>
  <si>
    <t>pixel packing 또는 lane 분배로 필요한 line 끝 정렬을 처리한다.</t>
  </si>
  <si>
    <t>불필요한 pixel이 표시되지 않고 Word Count 및 다음 packet 시작이 정확한지 확인한다.</t>
  </si>
  <si>
    <t>포맷/해상도 의존</t>
  </si>
  <si>
    <t>AI-TX-CMP-01</t>
  </si>
  <si>
    <t>DSC/PPS 설정 전송</t>
  </si>
  <si>
    <t>지원 시 압축 스트림에 필요한 설정 또는 PPS 정보를 전송한다.</t>
  </si>
  <si>
    <t>encoder 설정과 display decoder 설정이 일치하고 frame 적용 시점이 정확한지 확인한다.</t>
  </si>
  <si>
    <t>DSC 지원 시</t>
  </si>
  <si>
    <t>P2</t>
  </si>
  <si>
    <t>AI-TX-CMP-02</t>
  </si>
  <si>
    <t>Compressed Pixel Stream</t>
  </si>
  <si>
    <t>압축된 pixel stream을 정의된 packetization으로 전송한다.</t>
  </si>
  <si>
    <t>slice/chunk 경계, Word Count, CRC와 복원 영상의 무결성을 확인한다.</t>
  </si>
  <si>
    <t>AI-TX-PWR-01</t>
  </si>
  <si>
    <t>LPDT/Escape 전송</t>
  </si>
  <si>
    <t>Escape entry 후 Low-Power Data Transmission을 수행한다.</t>
  </si>
  <si>
    <t>entry sequence, bit encoding, payload와 exit가 정확하고 상대 장치가 해석하는지 확인한다.</t>
  </si>
  <si>
    <t>LPDT 지원 시</t>
  </si>
  <si>
    <t>AI-TX-PWR-02</t>
  </si>
  <si>
    <t>HS 전송 진입/종료</t>
  </si>
  <si>
    <t>LP 상태에서 High-Speed 전송을 시작하고 다시 LP 상태로 복귀한다.</t>
  </si>
  <si>
    <t>전환 순서, 첫/마지막 protocol byte와 packet 경계가 손상되지 않는지 확인한다.</t>
  </si>
  <si>
    <t>AI-TX-PWR-03</t>
  </si>
  <si>
    <t>Command/Video 전환</t>
  </si>
  <si>
    <t>지원되는 구성에서 command traffic과 video traffic 사이를 전환한다.</t>
  </si>
  <si>
    <t>전환 중 미완료 packet, frame 손상 또는 잘못된 BTA가 발생하지 않는지 확인한다.</t>
  </si>
  <si>
    <t>두 Mode 모두 지원 시</t>
  </si>
  <si>
    <t>AI-TX-PWR-04</t>
  </si>
  <si>
    <t>ULPS 진입/복귀</t>
  </si>
  <si>
    <t>Ultra Low Power State로 진입한 뒤 정상 통신 상태로 복귀한다.</t>
  </si>
  <si>
    <t>진입·복귀 시퀀스와 복귀 후 첫 packet이 정상 수신되는지 확인한다.</t>
  </si>
  <si>
    <t>ULPS 지원 시</t>
  </si>
  <si>
    <t>AI-TX-PWR-05</t>
  </si>
  <si>
    <t>Timeout/복구</t>
  </si>
  <si>
    <t>응답 부재나 비정상 전환 후 송신 상태 머신을 복구한다.</t>
  </si>
  <si>
    <t>버스 고착 없이 규정된 timeout 처리를 수행하고 다음 정상 transaction이 가능한지 확인한다.</t>
  </si>
  <si>
    <t>오류 복구 지원 시</t>
  </si>
  <si>
    <t>MIPI DSI v1.3.1 — 수신기(Display/Peripheral) Protocol 테스트</t>
  </si>
  <si>
    <t>시험기가 유효·오류 DSI traffic을 입력하고 Display/Peripheral의 수신, 오류 처리, BTA/read response 및 화면 결과를 확인하는 관점입니다.</t>
  </si>
  <si>
    <t>AI-RX-PKT-01</t>
  </si>
  <si>
    <t>Short Packet 파싱</t>
  </si>
  <si>
    <t>Short Packet header와 data field를 수신·해석한다.</t>
  </si>
  <si>
    <t>Data Type·VC·파라미터가 정확히 복원되어 올바른 내부 기능으로 전달되는지 확인한다.</t>
  </si>
  <si>
    <t>AI-RX-PKT-02</t>
  </si>
  <si>
    <t>Long Packet 파싱</t>
  </si>
  <si>
    <t>Word Count만큼 payload를 수신하고 CRC 및 packet 종료를 해석한다.</t>
  </si>
  <si>
    <t>payload 경계, 첫/마지막 byte와 다음 packet 시작을 정확히 구분하는지 확인한다.</t>
  </si>
  <si>
    <t>AI-RX-PKT-03</t>
  </si>
  <si>
    <t>Data Type 디코딩</t>
  </si>
  <si>
    <t>수신 Data Type에 따라 command, response, pixel data를 분류한다.</t>
  </si>
  <si>
    <t>지원하는 모든 Data Type이 올바른 처리 경로로 전달되는지 확인한다.</t>
  </si>
  <si>
    <t>AI-RX-PKT-04</t>
  </si>
  <si>
    <t>Virtual Channel 분리</t>
  </si>
  <si>
    <t>Virtual Channel별 패킷을 식별하고 대상 context로 전달한다.</t>
  </si>
  <si>
    <t>VC 간 데이터 혼합·오인식이 없고 미지원 VC의 처리 정책이 일관적인지 확인한다.</t>
  </si>
  <si>
    <t>AI-RX-PKT-05</t>
  </si>
  <si>
    <t>하나의 HS 구간에 연속된 여러 패킷을 수신한다.</t>
  </si>
  <si>
    <t>각 packet boundary를 유지하고 모든 패킷을 순서대로 전달하는지 확인한다.</t>
  </si>
  <si>
    <t>AI-RX-PKT-06</t>
  </si>
  <si>
    <t>EoTp 수신</t>
  </si>
  <si>
    <t>End-of-Transmission Packet을 인식한다.</t>
  </si>
  <si>
    <t>EoTp가 payload로 전달되지 않고 전송 종료 및 다음 상태 전이에 올바르게 반영되는지 확인한다.</t>
  </si>
  <si>
    <t>AI-RX-PKT-07</t>
  </si>
  <si>
    <t>예약/미지원 Data Type 처리</t>
  </si>
  <si>
    <t>예약 또는 미지원 Data Type 수신 시 안전하게 처리한다.</t>
  </si>
  <si>
    <t>정상 데이터로 오인하지 않고 drop·ignore·오류 보고 중 선언한 정책을 수행하는지 확인한다.</t>
  </si>
  <si>
    <t>AI-RX-ERR-01</t>
  </si>
  <si>
    <t>ECC 단일 비트 정정</t>
  </si>
  <si>
    <t>header에 단일 비트 오류가 있는 패킷을 수신한다.</t>
  </si>
  <si>
    <t>정정 가능한 오류를 올바르게 정정하고 packet 처리와 오류 상태를 규정대로 유지하는지 확인한다.</t>
  </si>
  <si>
    <t>AI-RX-ERR-02</t>
  </si>
  <si>
    <t>ECC 복수 비트 검출</t>
  </si>
  <si>
    <t>정정 불가능한 header 오류를 포함한 패킷을 수신한다.</t>
  </si>
  <si>
    <t>오류 패킷을 정상 수용하지 않고 검출·폐기·보고 정책을 수행하는지 확인한다.</t>
  </si>
  <si>
    <t>AI-RX-ERR-03</t>
  </si>
  <si>
    <t>CRC 오류 검출</t>
  </si>
  <si>
    <t>payload 또는 CRC가 손상된 Long Packet을 수신한다.</t>
  </si>
  <si>
    <t>CRC mismatch를 검출하고 손상 payload가 표시/명령 처리에 사용되지 않는지 확인한다.</t>
  </si>
  <si>
    <t>AI-RX-ERR-04</t>
  </si>
  <si>
    <t>Word Count 불일치</t>
  </si>
  <si>
    <t>선언된 Word Count와 실제 payload 길이가 다른 패킷을 수신한다.</t>
  </si>
  <si>
    <t>underflow/overflow를 검출하고 다음 packet boundary를 안전하게 회복하는지 확인한다.</t>
  </si>
  <si>
    <t>AI-RX-ERR-05</t>
  </si>
  <si>
    <t>잘못된 Packet Sequence</t>
  </si>
  <si>
    <t>video event 또는 command sequence 순서가 잘못된 스트림을 수신한다.</t>
  </si>
  <si>
    <t>상태 머신이 오류를 검출하고 이후 정상 frame/transaction으로 복구하는지 확인한다.</t>
  </si>
  <si>
    <t>AI-RX-ERR-06</t>
  </si>
  <si>
    <t>수신 Timeout</t>
  </si>
  <si>
    <t>불완전한 packet 또는 중단된 turnaround를 입력한다.</t>
  </si>
  <si>
    <t>무한 대기 없이 timeout을 발생시키고 lane/프로토콜 상태를 복구하는지 확인한다.</t>
  </si>
  <si>
    <t>AI-RX-ERR-07</t>
  </si>
  <si>
    <t>ACK and Error Report 생성</t>
  </si>
  <si>
    <t>검출된 오류를 Acknowledge and Error Report로 반환한다.</t>
  </si>
  <si>
    <t>오류 원인에 대응하는 bit가 정확하고 BTA response packet 형식이 올바른지 확인한다.</t>
  </si>
  <si>
    <t>Error Report 지원 시</t>
  </si>
  <si>
    <t>AI-RX-ERR-08</t>
  </si>
  <si>
    <t>오류 후 정상 트래픽 복구</t>
  </si>
  <si>
    <t>오류 패킷 뒤에 유효한 packet/frame을 연속 입력한다.</t>
  </si>
  <si>
    <t>오류가 다음 정상 transaction으로 전파되지 않고 정상 수신을 재개하는지 확인한다.</t>
  </si>
  <si>
    <t>AI-RX-CMD-01</t>
  </si>
  <si>
    <t>Generic Short Write 수신</t>
  </si>
  <si>
    <t>0/1/2 parameter Generic Short Write를 수신한다.</t>
  </si>
  <si>
    <t>parameter 수별 Data Type과 값이 정확히 전달되고 잘못된 길이는 거부되는지 확인한다.</t>
  </si>
  <si>
    <t>AI-RX-CMD-02</t>
  </si>
  <si>
    <t>Generic Long Write 수신</t>
  </si>
  <si>
    <t>가변 길이 Generic Long Write를 수신한다.</t>
  </si>
  <si>
    <t>Word Count·payload·CRC 검증 후 전체 데이터가 순서대로 내부 로직에 전달되는지 확인한다.</t>
  </si>
  <si>
    <t>AI-RX-CMD-03</t>
  </si>
  <si>
    <t>Generic Read Request 처리</t>
  </si>
  <si>
    <t>0/1/2 parameter Generic Read Request를 처리한다.</t>
  </si>
  <si>
    <t>요청에 대응하는 register/data를 선택하고 올바른 response 형태를 생성하는지 확인한다.</t>
  </si>
  <si>
    <t>AI-RX-CMD-04</t>
  </si>
  <si>
    <t>DCS Short Write 수신</t>
  </si>
  <si>
    <t>0/1 parameter DCS Short Write를 수신한다.</t>
  </si>
  <si>
    <t>명령 및 parameter가 DCS 처리부에 정확히 전달되고 상태 변화가 의도와 같은지 확인한다.</t>
  </si>
  <si>
    <t>AI-RX-CMD-05</t>
  </si>
  <si>
    <t>DCS Long Write 수신</t>
  </si>
  <si>
    <t>여러 parameter의 DCS Long Write를 수신한다.</t>
  </si>
  <si>
    <t>command byte·payload 길이·CRC를 검증하고 원자적으로 적용하는지 확인한다.</t>
  </si>
  <si>
    <t>AI-RX-CMD-06</t>
  </si>
  <si>
    <t>DCS Read Request 처리</t>
  </si>
  <si>
    <t>DCS Read Request에 맞는 상태/레지스터 데이터를 준비한다.</t>
  </si>
  <si>
    <t>지원/미지원 command를 구분하고 BTA 후 정확한 response를 생성하는지 확인한다.</t>
  </si>
  <si>
    <t>AI-RX-CMD-07</t>
  </si>
  <si>
    <t>Maximum Return Size 준수</t>
  </si>
  <si>
    <t>Host가 설정한 Maximum Return Packet Size를 저장·적용한다.</t>
  </si>
  <si>
    <t>응답 payload가 제한을 넘지 않고 필요한 경우 적절한 길이로 반환되는지 확인한다.</t>
  </si>
  <si>
    <t>AI-RX-CMD-08</t>
  </si>
  <si>
    <t>Short Read Response 생성</t>
  </si>
  <si>
    <t>1-byte 또는 2-byte Generic/DCS short response를 생성한다.</t>
  </si>
  <si>
    <t>응답 종류·Data Type·data field·ECC가 요청 및 데이터 길이와 일치하는지 확인한다.</t>
  </si>
  <si>
    <t>AI-RX-CMD-09</t>
  </si>
  <si>
    <t>Long Read Response 생성</t>
  </si>
  <si>
    <t>2 byte를 넘는 Generic/DCS long response를 생성한다.</t>
  </si>
  <si>
    <t>Word Count·payload·CRC와 Maximum Return Size 준수가 정확한지 확인한다.</t>
  </si>
  <si>
    <t>Long Read 지원 시</t>
  </si>
  <si>
    <t>AI-RX-CMD-10</t>
  </si>
  <si>
    <t>Memory Write 계열 DCS payload를 frame memory에 반영한다.</t>
  </si>
  <si>
    <t>주소 window, pixel order, continue write와 마지막 pixel 처리가 정확한지 확인한다.</t>
  </si>
  <si>
    <t>AI-RX-CMD-11</t>
  </si>
  <si>
    <t>Peripheral 제어 명령</t>
  </si>
  <si>
    <t>Shutdown, Turn On, Color Mode 등 지원 명령을 처리한다.</t>
  </si>
  <si>
    <t>명령별 상태 전환과 ACK/오류 처리 및 이후 통신 가능 여부를 확인한다.</t>
  </si>
  <si>
    <t>AI-RX-CMD-12</t>
  </si>
  <si>
    <t>미지원 명령 처리</t>
  </si>
  <si>
    <t>미지원 또는 잘못 구성된 command packet을 입력한다.</t>
  </si>
  <si>
    <t>오동작 없이 무시하거나 오류를 보고하고 기존 display 상태를 보존하는지 확인한다.</t>
  </si>
  <si>
    <t>AI-RX-BTA-01</t>
  </si>
  <si>
    <t>BTA 감지/소유권 획득</t>
  </si>
  <si>
    <t>Host의 BTA 요청 후 response transmitter로 전환한다.</t>
  </si>
  <si>
    <t>lane contention 없이 정해진 순서로 버스 소유권을 획득하는지 확인한다.</t>
  </si>
  <si>
    <t>AI-RX-BTA-02</t>
  </si>
  <si>
    <t>응답 시작 Timing</t>
  </si>
  <si>
    <t>BTA 이후 ACK 또는 read response 전송을 시작한다.</t>
  </si>
  <si>
    <t>응답 지연이 허용 범위에 있고 Host timeout 전에 시작되는지 확인한다.</t>
  </si>
  <si>
    <t>AI-RX-BTA-03</t>
  </si>
  <si>
    <t>Response 종료/반환</t>
  </si>
  <si>
    <t>response를 끝내고 버스 소유권을 Host로 반환한다.</t>
  </si>
  <si>
    <t>마지막 byte와 LP state 전환이 정확하고 다음 Host transaction을 방해하지 않는지 확인한다.</t>
  </si>
  <si>
    <t>AI-RX-BTA-04</t>
  </si>
  <si>
    <t>비정상 BTA 복구</t>
  </si>
  <si>
    <t>중단되거나 잘못된 turnaround sequence를 입력한다.</t>
  </si>
  <si>
    <t>동시 구동이나 고착 없이 timeout 후 정상 receive mode로 복귀하는지 확인한다.</t>
  </si>
  <si>
    <t>AI-RX-VID-01</t>
  </si>
  <si>
    <t>Non-Burst Sync Pulses 수신</t>
  </si>
  <si>
    <t>sync pulse 방식의 non-burst video stream을 수신한다.</t>
  </si>
  <si>
    <t>HSA/HBP/active/HFP와 line boundary를 올바르게 해석하는지 확인한다.</t>
  </si>
  <si>
    <t>AI-RX-VID-02</t>
  </si>
  <si>
    <t>Non-Burst Sync Events 수신</t>
  </si>
  <si>
    <t>sync event 방식의 non-burst video stream을 수신한다.</t>
  </si>
  <si>
    <t>HSS event, blanking과 active pixel 위치를 정확히 복원하는지 확인한다.</t>
  </si>
  <si>
    <t>AI-RX-VID-03</t>
  </si>
  <si>
    <t>Burst Mode 수신</t>
  </si>
  <si>
    <t>active pixel burst와 긴 blanking 구간을 수신한다.</t>
  </si>
  <si>
    <t>burst 종료 후 line timing을 유지하고 다음 line/frame을 정상 인식하는지 확인한다.</t>
  </si>
  <si>
    <t>AI-RX-VID-04</t>
  </si>
  <si>
    <t>수직 동기/Frame Boundary</t>
  </si>
  <si>
    <t>VSS/VSE와 vertical porch를 이용해 frame boundary를 구성한다.</t>
  </si>
  <si>
    <t>프레임 line 수, active 영역 시작·끝과 frame rate가 설정값과 일치하는지 확인한다.</t>
  </si>
  <si>
    <t>AI-RX-VID-05</t>
  </si>
  <si>
    <t>수평 동기/Line Boundary</t>
  </si>
  <si>
    <t>HSS/HSE 및 line packet sequence를 해석한다.</t>
  </si>
  <si>
    <t>누락·중복 line 없이 active pixel이 올바른 line 위치에 기록되는지 확인한다.</t>
  </si>
  <si>
    <t>AI-RX-VID-06</t>
  </si>
  <si>
    <t>Blanking/Null Packet 처리</t>
  </si>
  <si>
    <t>blanking interval과 Null Packet을 비표시 데이터로 처리한다.</t>
  </si>
  <si>
    <t>blanking payload가 화면에 나타나지 않고 line/frame timing만 유지되는지 확인한다.</t>
  </si>
  <si>
    <t>AI-RX-VID-07</t>
  </si>
  <si>
    <t>동일하거나 변화하는 영상을 여러 프레임 연속 수신한다.</t>
  </si>
  <si>
    <t>frame drop·repeat·tear, line drift와 장시간 상태 누적 오류가 없는지 확인한다.</t>
  </si>
  <si>
    <t>AI-RX-PIX-01</t>
  </si>
  <si>
    <t>RGB565 Unpack</t>
  </si>
  <si>
    <t>RGB565 pixel payload를 unpack해 표시 경로로 전달한다.</t>
  </si>
  <si>
    <t>성분 bit 위치와 pixel 순서가 golden image와 일치하는지 확인한다.</t>
  </si>
  <si>
    <t>AI-RX-PIX-02</t>
  </si>
  <si>
    <t>RGB666 Loosely Packed Unpack</t>
  </si>
  <si>
    <t>loosely packed RGB666을 18-bit pixel로 복원한다.</t>
  </si>
  <si>
    <t>padding bit 처리, 색상 성분과 line 끝 정렬이 정확한지 확인한다.</t>
  </si>
  <si>
    <t>AI-RX-PIX-03</t>
  </si>
  <si>
    <t>RGB666 Packed Unpack</t>
  </si>
  <si>
    <t>packed RGB666 byte stream을 pixel로 복원한다.</t>
  </si>
  <si>
    <t>4-pixel packing 경계와 line 끝의 부분 그룹 처리가 정확한지 확인한다.</t>
  </si>
  <si>
    <t>AI-RX-PIX-04</t>
  </si>
  <si>
    <t>RGB888 Unpack</t>
  </si>
  <si>
    <t>RGB888 byte stream을 24-bit pixel로 복원한다.</t>
  </si>
  <si>
    <t>R/G/B byte 순서, pixel 순서와 line stride가 golden image와 일치하는지 확인한다.</t>
  </si>
  <si>
    <t>AI-RX-PIX-05</t>
  </si>
  <si>
    <t>멀티 Lane Byte 재조합</t>
  </si>
  <si>
    <t>여러 data lane의 byte stream을 원래 packet 순서로 재조합한다.</t>
  </si>
  <si>
    <t>lane별 첫 byte, round-robin 순서와 packet 끝에서 유실·중복이 없는지 확인한다.</t>
  </si>
  <si>
    <t>AI-RX-PIX-06</t>
  </si>
  <si>
    <t>Padding/Line 끝 처리</t>
  </si>
  <si>
    <t>pixel packing과 lane 분배에 따른 line 끝 정렬을 처리한다.</t>
  </si>
  <si>
    <t>padding을 pixel로 표시하지 않고 다음 line 첫 pixel이 정확한지 확인한다.</t>
  </si>
  <si>
    <t>AI-RX-CMP-01</t>
  </si>
  <si>
    <t>DSC/PPS 적용</t>
  </si>
  <si>
    <t>수신한 압축 설정 또는 PPS를 decoder 구성에 반영한다.</t>
  </si>
  <si>
    <t>설정값, 적용 frame과 encoder/decoder 조합이 일치하는지 확인한다.</t>
  </si>
  <si>
    <t>AI-RX-CMP-02</t>
  </si>
  <si>
    <t>Compressed Pixel Stream 복원</t>
  </si>
  <si>
    <t>압축된 pixel payload를 수신해 복원한다.</t>
  </si>
  <si>
    <t>slice/chunk boundary, 오류 처리와 복원 영상의 무결성을 확인한다.</t>
  </si>
  <si>
    <t>AI-RX-PWR-01</t>
  </si>
  <si>
    <t>LPDT/Escape 수신</t>
  </si>
  <si>
    <t>Escape sequence와 Low-Power Data Transmission을 수신한다.</t>
  </si>
  <si>
    <t>entry, bit decoding, payload와 exit를 정확히 인식하고 명령 경로로 전달하는지 확인한다.</t>
  </si>
  <si>
    <t>AI-RX-PWR-02</t>
  </si>
  <si>
    <t>HS 진입/종료 인식</t>
  </si>
  <si>
    <t>상대 장치의 High-Speed 전송 시작과 종료를 인식한다.</t>
  </si>
  <si>
    <t>첫 protocol byte부터 마지막 byte까지 누락 없이 capture하고 LP 상태로 복귀하는지 확인한다.</t>
  </si>
  <si>
    <t>AI-RX-PWR-03</t>
  </si>
  <si>
    <t>Command/Video 전환 수용</t>
  </si>
  <si>
    <t>command traffic과 video traffic의 전환을 수용한다.</t>
  </si>
  <si>
    <t>전환 중 기존 frame/command 상태를 안전하게 마감하고 새 mode를 정상 처리하는지 확인한다.</t>
  </si>
  <si>
    <t>AI-RX-PWR-04</t>
  </si>
  <si>
    <t>ULPS 진입/복귀 수용</t>
  </si>
  <si>
    <t>Ultra Low Power State 요청을 수용하고 exit 후 수신을 재개한다.</t>
  </si>
  <si>
    <t>ULPS 동안 잘못된 처리 없이 유지되고 exit 후 첫 packet을 정상 수신하는지 확인한다.</t>
  </si>
  <si>
    <t>AI-RX-PWR-05</t>
  </si>
  <si>
    <t>비정상 전환 복구</t>
  </si>
  <si>
    <t>불완전한 LP/HS 전환 또는 중단된 transmission을 입력한다.</t>
  </si>
  <si>
    <t>상태 고착 없이 timeout·오류 처리 후 다음 정상 transmission을 수신하는지 확인한다.</t>
  </si>
  <si>
    <t>MIPI DSI v1.3.1 — 실행 체크리스트</t>
  </si>
  <si>
    <t>적용 여부·상태·결과·담당자·증적·비고를 편집해 프로젝트 시험 진행표로 사용할 수 있습니다. 필터와 틀 고정을 적용했습니다.</t>
  </si>
  <si>
    <t>조건부 기능은 ‘검토 필요’가 기본값입니다. 제품 capability와 공식 CTS 원문을 대조한 뒤 ‘적용’ 또는 ‘비적용’으로 확정하세요.</t>
  </si>
  <si>
    <t>DUT 역할</t>
  </si>
  <si>
    <t>적용 여부</t>
  </si>
  <si>
    <t>상태</t>
  </si>
  <si>
    <t>결과</t>
  </si>
  <si>
    <t>담당자</t>
  </si>
  <si>
    <t>증적/로그</t>
  </si>
  <si>
    <t>비고</t>
  </si>
  <si>
    <t>적용</t>
  </si>
  <si>
    <t>미실행</t>
  </si>
  <si>
    <t>미판정</t>
  </si>
  <si>
    <t>검토 필요</t>
  </si>
  <si>
    <t>범위, 출처 및 용어</t>
  </si>
  <si>
    <t>공개 자료만 사용했습니다. MIPI 회원 전용 CTS의 공식 Test ID, 원문 절차와 수치 판정 기준은 포함하지 않았습니다.</t>
  </si>
  <si>
    <t>출처</t>
  </si>
  <si>
    <t>출처 ID</t>
  </si>
  <si>
    <t>기관</t>
  </si>
  <si>
    <t>공개 자료에서 확인한 내용</t>
  </si>
  <si>
    <t>URL</t>
  </si>
  <si>
    <t>워크북에서의 사용</t>
  </si>
  <si>
    <t>확인일</t>
  </si>
  <si>
    <t>S1</t>
  </si>
  <si>
    <t>MIPI Alliance</t>
  </si>
  <si>
    <t>DSI v1.3.1용 Receiver Protocol CTS와 Transmitter Protocol CTS가 별도로 존재하며 회원용임을 확인.</t>
  </si>
  <si>
    <t>CTS 문서 범위, DSI/D-PHY/DCS/DSC 개요</t>
  </si>
  <si>
    <t>2026-07-30</t>
  </si>
  <si>
    <t>S2</t>
  </si>
  <si>
    <t>Teledyne LeCroy</t>
  </si>
  <si>
    <t>CTS coverage가 data/clock, short/long packet, frame structure, timing, HS/LP 및 read/write를 포함한다고 설명.</t>
  </si>
  <si>
    <t>공개 coverage를 그룹화하는 보조 근거</t>
  </si>
  <si>
    <t>S3</t>
  </si>
  <si>
    <t>Synopsys</t>
  </si>
  <si>
    <t>packet structure, command/video mode, pixel formats, ECC/CRC, error handling, HS/Escape 및 multi-lane 기능을 공개.</t>
  </si>
  <si>
    <t>프로토콜 기능별 체크 항목 보조 근거</t>
  </si>
  <si>
    <t>S4</t>
  </si>
  <si>
    <t>AMD</t>
  </si>
  <si>
    <t>lane 조합, line rate, short/long packet, pixel format, video mode, 오류 복구 등 공개 검증 범위를 설명.</t>
  </si>
  <si>
    <t>구현 검증 및 오류 복구 체크 보조 근거</t>
  </si>
  <si>
    <t>포함/제외 범위</t>
  </si>
  <si>
    <t>구분</t>
  </si>
  <si>
    <t>영역</t>
  </si>
  <si>
    <t>처리</t>
  </si>
  <si>
    <t>이유</t>
  </si>
  <si>
    <t>DSI Protocol Tx/Rx</t>
  </si>
  <si>
    <t>테스트 항목으로 정리</t>
  </si>
  <si>
    <t>공식 페이지가 v1.3.1 Transmitter/Receiver Protocol CTS를 명시</t>
  </si>
  <si>
    <t>VC, EoTp, read/BTA, ULPS, pixel format, DSC</t>
  </si>
  <si>
    <t>지원 기능일 때 적용</t>
  </si>
  <si>
    <t>제품별 capability가 다르므로 원문 CTS applicability 확인 필요</t>
  </si>
  <si>
    <t>별도</t>
  </si>
  <si>
    <t>D-PHY 전기/물리 계층</t>
  </si>
  <si>
    <t>정량 PHY 시험은 제외</t>
  </si>
  <si>
    <t>Protocol CTS와 D-PHY CTS의 목적 및 장비가 다름</t>
  </si>
  <si>
    <t>대체 불가</t>
  </si>
  <si>
    <t>공식 CTS Test ID/절차/판정 기준</t>
  </si>
  <si>
    <t>회원용 원문 확인</t>
  </si>
  <si>
    <t>공개 페이지에서 세부 문서가 제공되지 않음</t>
  </si>
  <si>
    <t>용어</t>
  </si>
  <si>
    <t>설명</t>
  </si>
  <si>
    <t>Device Under Test. 시험 대상인 Host/SoC 송신기 또는 Display/Peripheral 수신기.</t>
  </si>
  <si>
    <t>Short Packet</t>
  </si>
  <si>
    <t>고정 길이 header 중심 패킷. 명령, event, 짧은 응답 등에 사용.</t>
  </si>
  <si>
    <t>Word Count, payload와 CRC를 갖는 가변 길이 패킷.</t>
  </si>
  <si>
    <t>BTA</t>
  </si>
  <si>
    <t>Bus Turn-Around. Host에서 Peripheral 방향으로 버스 구동권을 넘겨 read/ACK 응답을 받는 절차.</t>
  </si>
  <si>
    <t>LPDT</t>
  </si>
  <si>
    <t>Low-Power Data Transmission. Escape mode에서 수행하는 저전력 데이터 전송.</t>
  </si>
  <si>
    <t>EoTp</t>
  </si>
  <si>
    <t>End-of-Transmission Packet. 지원 구성에서 전송 종료를 나타내는 short packet.</t>
  </si>
  <si>
    <t>P0/P1/P2</t>
  </si>
  <si>
    <t>P0=핵심 상호운용성, P1=일반/조건부 기능, P2=선택 기능(예: 압축). 공식 CTS 우선순위 표기가 아님.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</si>
</sst>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%"/>
  </numFmts>
  <fonts count="14">
    <font>
      <sz val="11"/>
      <color theme="1"/>
      <name val="Calibri"/>
      <family val="2"/>
      <scheme val="minor"/>
    </font>
    <font>
      <b/>
      <sz val="17"/>
      <color rgb="FFFFFFFF"/>
      <name val="Apple SD Gothic Neo"/>
      <family val="2"/>
    </font>
    <font>
      <i/>
      <sz val="9"/>
      <color rgb="FF334155"/>
      <name val="Apple SD Gothic Neo"/>
      <family val="2"/>
    </font>
    <font>
      <b/>
      <sz val="9"/>
      <color rgb="FF44546A"/>
      <name val="Apple SD Gothic Neo"/>
      <family val="2"/>
    </font>
    <font>
      <b/>
      <sz val="18"/>
      <color rgb="FF1F4E78"/>
      <name val="Apple SD Gothic Neo"/>
      <family val="2"/>
    </font>
    <font>
      <b/>
      <sz val="18"/>
      <color rgb="FF548235"/>
      <name val="Apple SD Gothic Neo"/>
      <family val="2"/>
    </font>
    <font>
      <i/>
      <sz val="9"/>
      <color rgb="FF7F6000"/>
      <name val="Apple SD Gothic Neo"/>
      <family val="2"/>
    </font>
    <font>
      <b/>
      <sz val="11"/>
      <color rgb="FFFFFFFF"/>
      <name val="Apple SD Gothic Neo"/>
      <family val="2"/>
    </font>
    <font>
      <b/>
      <sz val="9"/>
      <color rgb="FFFFFFFF"/>
      <name val="Apple SD Gothic Neo"/>
      <family val="2"/>
    </font>
    <font>
      <sz val="9"/>
      <color rgb="FF1F2937"/>
      <name val="Apple SD Gothic Neo"/>
      <family val="2"/>
    </font>
    <font>
      <sz val="9"/>
      <color rgb="FF1F2937"/>
      <name val="Apple SD Gothic Neo"/>
      <family val="2"/>
    </font>
    <font>
      <b/>
      <sz val="9"/>
      <color rgb="FF1F2937"/>
      <name val="Apple SD Gothic Neo"/>
      <family val="2"/>
    </font>
    <font>
      <u/>
      <sz val="9"/>
      <color rgb="FF0563C1"/>
      <name val="Apple SD Gothic Neo"/>
      <family val="2"/>
    </font>
    <font>
      <sz val="8"/>
      <color indexed="81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0F6B78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DEBF7"/>
        <bgColor indexed="64"/>
      </patternFill>
    </fill>
  </fills>
  <borders count="6">
    <border>
      <left/>
      <right/>
      <top/>
      <bottom/>
      <diagonal/>
    </border>
    <border>
      <left style="thin">
        <color rgb="FFC9D4E1"/>
      </left>
      <right style="thin">
        <color rgb="FFC9D4E1"/>
      </right>
      <top style="thin">
        <color rgb="FFC9D4E1"/>
      </top>
      <bottom style="thin">
        <color rgb="FFC9D4E1"/>
      </bottom>
      <diagonal/>
    </border>
    <border>
      <left style="thin">
        <color rgb="FFE6D58A"/>
      </left>
      <right style="thin">
        <color rgb="FFE6D58A"/>
      </right>
      <top style="thin">
        <color rgb="FFE6D58A"/>
      </top>
      <bottom style="thin">
        <color rgb="FFE6D58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E1E7EF"/>
      </left>
      <right style="thin">
        <color rgb="FFE1E7EF"/>
      </right>
      <top style="thin">
        <color rgb="FFE1E7EF"/>
      </top>
      <bottom style="thin">
        <color rgb="FFE1E7EF"/>
      </bottom>
      <diagonal/>
    </border>
    <border>
      <left style="thin">
        <color rgb="FFE1E7EF"/>
      </left>
      <right style="thin">
        <color rgb="FFE1E7EF"/>
      </right>
      <top style="medium">
        <color rgb="FF1F4E78"/>
      </top>
      <bottom style="thin">
        <color rgb="FFE1E7EF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165" fontId="5" fillId="5" borderId="1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vertical="center" wrapText="1"/>
    </xf>
    <xf numFmtId="0" fontId="7" fillId="7" borderId="0" xfId="0" applyFont="1" applyFill="1" applyAlignment="1">
      <alignment horizontal="left" vertical="center"/>
    </xf>
    <xf numFmtId="0" fontId="8" fillId="8" borderId="3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0" fillId="9" borderId="4" xfId="0" applyFont="1" applyFill="1" applyBorder="1" applyAlignment="1">
      <alignment horizontal="left" vertical="top" wrapText="1"/>
    </xf>
    <xf numFmtId="0" fontId="10" fillId="10" borderId="4" xfId="0" applyFont="1" applyFill="1" applyBorder="1" applyAlignment="1">
      <alignment horizontal="left" vertical="top" wrapText="1"/>
    </xf>
    <xf numFmtId="0" fontId="10" fillId="11" borderId="4" xfId="0" applyFont="1" applyFill="1" applyBorder="1" applyAlignment="1">
      <alignment horizontal="left" vertical="top" wrapText="1"/>
    </xf>
    <xf numFmtId="0" fontId="10" fillId="6" borderId="4" xfId="0" applyFont="1" applyFill="1" applyBorder="1" applyAlignment="1">
      <alignment horizontal="left" vertical="top" wrapText="1"/>
    </xf>
    <xf numFmtId="0" fontId="10" fillId="12" borderId="4" xfId="0" applyFont="1" applyFill="1" applyBorder="1" applyAlignment="1">
      <alignment horizontal="left" vertical="top" wrapText="1"/>
    </xf>
    <xf numFmtId="0" fontId="10" fillId="13" borderId="4" xfId="0" applyFont="1" applyFill="1" applyBorder="1" applyAlignment="1">
      <alignment horizontal="left" vertical="top" wrapText="1"/>
    </xf>
    <xf numFmtId="0" fontId="9" fillId="0" borderId="4" xfId="0" applyFont="1" applyBorder="1" applyAlignment="1">
      <alignment vertical="top" wrapText="1"/>
    </xf>
    <xf numFmtId="0" fontId="9" fillId="0" borderId="5" xfId="0" applyFont="1" applyBorder="1" applyAlignment="1">
      <alignment horizontal="center" vertical="center" wrapText="1"/>
    </xf>
    <xf numFmtId="0" fontId="11" fillId="9" borderId="5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1" fillId="9" borderId="4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vertical="top" wrapText="1"/>
    </xf>
    <xf numFmtId="0" fontId="11" fillId="10" borderId="5" xfId="0" applyFont="1" applyFill="1" applyBorder="1" applyAlignment="1">
      <alignment horizontal="center" vertical="center" wrapText="1"/>
    </xf>
    <xf numFmtId="0" fontId="11" fillId="10" borderId="4" xfId="0" applyFont="1" applyFill="1" applyBorder="1" applyAlignment="1">
      <alignment horizontal="center" vertical="center" wrapText="1"/>
    </xf>
    <xf numFmtId="0" fontId="11" fillId="11" borderId="5" xfId="0" applyFont="1" applyFill="1" applyBorder="1" applyAlignment="1">
      <alignment horizontal="center" vertical="center" wrapText="1"/>
    </xf>
    <xf numFmtId="0" fontId="11" fillId="11" borderId="4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 wrapText="1"/>
    </xf>
    <xf numFmtId="0" fontId="11" fillId="12" borderId="5" xfId="0" applyFont="1" applyFill="1" applyBorder="1" applyAlignment="1">
      <alignment horizontal="center" vertical="center" wrapText="1"/>
    </xf>
    <xf numFmtId="0" fontId="11" fillId="12" borderId="4" xfId="0" applyFont="1" applyFill="1" applyBorder="1" applyAlignment="1">
      <alignment horizontal="center" vertical="center" wrapText="1"/>
    </xf>
    <xf numFmtId="0" fontId="11" fillId="13" borderId="5" xfId="0" applyFont="1" applyFill="1" applyBorder="1" applyAlignment="1">
      <alignment horizontal="center" vertical="center" wrapText="1"/>
    </xf>
    <xf numFmtId="0" fontId="11" fillId="1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color rgb="FF7F6000"/>
      </font>
      <fill>
        <patternFill>
          <bgColor rgb="FFFFF2CC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ipi.org/specifications/dsi" TargetMode="External"/><Relationship Id="rId2" Type="http://schemas.openxmlformats.org/officeDocument/2006/relationships/hyperlink" Target="https://www.mipi.org/specifications/dsi" TargetMode="External"/><Relationship Id="rId3" Type="http://schemas.openxmlformats.org/officeDocument/2006/relationships/hyperlink" Target="https://www.synopsys.com/verification/verification-ip/mipi/mipi-dsi.html" TargetMode="External"/><Relationship Id="rId4" Type="http://schemas.openxmlformats.org/officeDocument/2006/relationships/hyperlink" Target="https://www.mipi.org/specifications/dsi" TargetMode="External"/><Relationship Id="rId5" Type="http://schemas.openxmlformats.org/officeDocument/2006/relationships/hyperlink" Target="https://www.synopsys.com/verification/verification-ip/mipi/mipi-dsi.html" TargetMode="External"/><Relationship Id="rId6" Type="http://schemas.openxmlformats.org/officeDocument/2006/relationships/hyperlink" Target="https://www.mipi.org/specifications/dsi" TargetMode="External"/><Relationship Id="rId7" Type="http://schemas.openxmlformats.org/officeDocument/2006/relationships/hyperlink" Target="https://cdn.teledynelecroy.com/files/pdf/envision_x84_datasheet.pdf" TargetMode="External"/><Relationship Id="rId8" Type="http://schemas.openxmlformats.org/officeDocument/2006/relationships/hyperlink" Target="https://www.synopsys.com/verification/verification-ip/mipi/mipi-dsi.html" TargetMode="External"/><Relationship Id="rId9" Type="http://schemas.openxmlformats.org/officeDocument/2006/relationships/hyperlink" Target="https://www.synopsys.com/verification/verification-ip/mipi/mipi-dsi.html" TargetMode="External"/><Relationship Id="rId10" Type="http://schemas.openxmlformats.org/officeDocument/2006/relationships/hyperlink" Target="https://www.mipi.org/specifications/dsi" TargetMode="External"/><Relationship Id="rId11" Type="http://schemas.openxmlformats.org/officeDocument/2006/relationships/hyperlink" Target="https://www.mipi.org/specifications/dsi" TargetMode="External"/><Relationship Id="rId12" Type="http://schemas.openxmlformats.org/officeDocument/2006/relationships/hyperlink" Target="https://www.mipi.org/specifications/dsi" TargetMode="External"/><Relationship Id="rId13" Type="http://schemas.openxmlformats.org/officeDocument/2006/relationships/hyperlink" Target="https://www.mipi.org/specifications/dsi" TargetMode="External"/><Relationship Id="rId14" Type="http://schemas.openxmlformats.org/officeDocument/2006/relationships/hyperlink" Target="https://www.mipi.org/specifications/dsi" TargetMode="External"/><Relationship Id="rId15" Type="http://schemas.openxmlformats.org/officeDocument/2006/relationships/hyperlink" Target="https://www.mipi.org/specifications/dsi" TargetMode="External"/><Relationship Id="rId16" Type="http://schemas.openxmlformats.org/officeDocument/2006/relationships/hyperlink" Target="https://www.mipi.org/specifications/dsi" TargetMode="External"/><Relationship Id="rId17" Type="http://schemas.openxmlformats.org/officeDocument/2006/relationships/hyperlink" Target="https://www.mipi.org/specifications/dsi" TargetMode="External"/><Relationship Id="rId18" Type="http://schemas.openxmlformats.org/officeDocument/2006/relationships/hyperlink" Target="https://docs.amd.com/r/en-US/pg238-mipi-dsi-tx/Verification-Compliance-and-Interoperability" TargetMode="External"/><Relationship Id="rId19" Type="http://schemas.openxmlformats.org/officeDocument/2006/relationships/hyperlink" Target="https://www.mipi.org/specifications/dsi" TargetMode="External"/><Relationship Id="rId20" Type="http://schemas.openxmlformats.org/officeDocument/2006/relationships/hyperlink" Target="https://cdn.teledynelecroy.com/files/pdf/envision_x84_datasheet.pdf" TargetMode="External"/><Relationship Id="rId21" Type="http://schemas.openxmlformats.org/officeDocument/2006/relationships/hyperlink" Target="https://www.mipi.org/specifications/dsi" TargetMode="External"/><Relationship Id="rId22" Type="http://schemas.openxmlformats.org/officeDocument/2006/relationships/hyperlink" Target="https://www.mipi.org/specifications/dsi" TargetMode="External"/><Relationship Id="rId23" Type="http://schemas.openxmlformats.org/officeDocument/2006/relationships/hyperlink" Target="https://cdn.teledynelecroy.com/files/pdf/envision_x84_datasheet.pdf" TargetMode="External"/><Relationship Id="rId24" Type="http://schemas.openxmlformats.org/officeDocument/2006/relationships/hyperlink" Target="https://cdn.teledynelecroy.com/files/pdf/envision_x84_datasheet.pdf" TargetMode="External"/><Relationship Id="rId25" Type="http://schemas.openxmlformats.org/officeDocument/2006/relationships/hyperlink" Target="https://cdn.teledynelecroy.com/files/pdf/envision_x84_datasheet.pdf" TargetMode="External"/><Relationship Id="rId26" Type="http://schemas.openxmlformats.org/officeDocument/2006/relationships/hyperlink" Target="https://cdn.teledynelecroy.com/files/pdf/envision_x84_datasheet.pdf" TargetMode="External"/><Relationship Id="rId27" Type="http://schemas.openxmlformats.org/officeDocument/2006/relationships/hyperlink" Target="https://cdn.teledynelecroy.com/files/pdf/envision_x84_datasheet.pdf" TargetMode="External"/><Relationship Id="rId28" Type="http://schemas.openxmlformats.org/officeDocument/2006/relationships/hyperlink" Target="https://cdn.teledynelecroy.com/files/pdf/envision_x84_datasheet.pdf" TargetMode="External"/><Relationship Id="rId29" Type="http://schemas.openxmlformats.org/officeDocument/2006/relationships/hyperlink" Target="https://cdn.teledynelecroy.com/files/pdf/envision_x84_datasheet.pdf" TargetMode="External"/><Relationship Id="rId30" Type="http://schemas.openxmlformats.org/officeDocument/2006/relationships/hyperlink" Target="https://docs.amd.com/r/en-US/pg238-mipi-dsi-tx/Verification-Compliance-and-Interoperability" TargetMode="External"/><Relationship Id="rId31" Type="http://schemas.openxmlformats.org/officeDocument/2006/relationships/hyperlink" Target="https://www.synopsys.com/verification/verification-ip/mipi/mipi-dsi.html" TargetMode="External"/><Relationship Id="rId32" Type="http://schemas.openxmlformats.org/officeDocument/2006/relationships/hyperlink" Target="https://www.synopsys.com/verification/verification-ip/mipi/mipi-dsi.html" TargetMode="External"/><Relationship Id="rId33" Type="http://schemas.openxmlformats.org/officeDocument/2006/relationships/hyperlink" Target="https://www.synopsys.com/verification/verification-ip/mipi/mipi-dsi.html" TargetMode="External"/><Relationship Id="rId34" Type="http://schemas.openxmlformats.org/officeDocument/2006/relationships/hyperlink" Target="https://www.synopsys.com/verification/verification-ip/mipi/mipi-dsi.html" TargetMode="External"/><Relationship Id="rId35" Type="http://schemas.openxmlformats.org/officeDocument/2006/relationships/hyperlink" Target="https://docs.amd.com/r/en-US/pg238-mipi-dsi-tx/Verification-Compliance-and-Interoperability" TargetMode="External"/><Relationship Id="rId36" Type="http://schemas.openxmlformats.org/officeDocument/2006/relationships/hyperlink" Target="https://cdn.teledynelecroy.com/files/pdf/envision_x84_datasheet.pdf" TargetMode="External"/><Relationship Id="rId37" Type="http://schemas.openxmlformats.org/officeDocument/2006/relationships/hyperlink" Target="https://www.mipi.org/specifications/dsi" TargetMode="External"/><Relationship Id="rId38" Type="http://schemas.openxmlformats.org/officeDocument/2006/relationships/hyperlink" Target="https://www.mipi.org/specifications/dsi" TargetMode="External"/><Relationship Id="rId39" Type="http://schemas.openxmlformats.org/officeDocument/2006/relationships/hyperlink" Target="https://cdn.teledynelecroy.com/files/pdf/envision_x84_datasheet.pdf" TargetMode="External"/><Relationship Id="rId40" Type="http://schemas.openxmlformats.org/officeDocument/2006/relationships/hyperlink" Target="https://cdn.teledynelecroy.com/files/pdf/envision_x84_datasheet.pdf" TargetMode="External"/><Relationship Id="rId41" Type="http://schemas.openxmlformats.org/officeDocument/2006/relationships/hyperlink" Target="https://www.synopsys.com/verification/verification-ip/mipi/mipi-dsi.html" TargetMode="External"/><Relationship Id="rId42" Type="http://schemas.openxmlformats.org/officeDocument/2006/relationships/hyperlink" Target="https://www.mipi.org/specifications/dsi" TargetMode="External"/><Relationship Id="rId43" Type="http://schemas.openxmlformats.org/officeDocument/2006/relationships/hyperlink" Target="https://docs.amd.com/r/en-US/pg238-mipi-dsi-tx/Verification-Compliance-and-Interoperability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ipi.org/specifications/dsi" TargetMode="External"/><Relationship Id="rId2" Type="http://schemas.openxmlformats.org/officeDocument/2006/relationships/hyperlink" Target="https://www.mipi.org/specifications/dsi" TargetMode="External"/><Relationship Id="rId3" Type="http://schemas.openxmlformats.org/officeDocument/2006/relationships/hyperlink" Target="https://www.synopsys.com/verification/verification-ip/mipi/mipi-dsi.html" TargetMode="External"/><Relationship Id="rId4" Type="http://schemas.openxmlformats.org/officeDocument/2006/relationships/hyperlink" Target="https://www.mipi.org/specifications/dsi" TargetMode="External"/><Relationship Id="rId5" Type="http://schemas.openxmlformats.org/officeDocument/2006/relationships/hyperlink" Target="https://www.synopsys.com/verification/verification-ip/mipi/mipi-dsi.html" TargetMode="External"/><Relationship Id="rId6" Type="http://schemas.openxmlformats.org/officeDocument/2006/relationships/hyperlink" Target="https://www.mipi.org/specifications/dsi" TargetMode="External"/><Relationship Id="rId7" Type="http://schemas.openxmlformats.org/officeDocument/2006/relationships/hyperlink" Target="https://cdn.teledynelecroy.com/files/pdf/envision_x84_datasheet.pdf" TargetMode="External"/><Relationship Id="rId8" Type="http://schemas.openxmlformats.org/officeDocument/2006/relationships/hyperlink" Target="https://www.synopsys.com/verification/verification-ip/mipi/mipi-dsi.html" TargetMode="External"/><Relationship Id="rId9" Type="http://schemas.openxmlformats.org/officeDocument/2006/relationships/hyperlink" Target="https://www.synopsys.com/verification/verification-ip/mipi/mipi-dsi.html" TargetMode="External"/><Relationship Id="rId10" Type="http://schemas.openxmlformats.org/officeDocument/2006/relationships/hyperlink" Target="https://www.synopsys.com/verification/verification-ip/mipi/mipi-dsi.html" TargetMode="External"/><Relationship Id="rId11" Type="http://schemas.openxmlformats.org/officeDocument/2006/relationships/hyperlink" Target="https://cdn.teledynelecroy.com/files/pdf/envision_x84_datasheet.pdf" TargetMode="External"/><Relationship Id="rId12" Type="http://schemas.openxmlformats.org/officeDocument/2006/relationships/hyperlink" Target="https://cdn.teledynelecroy.com/files/pdf/envision_x84_datasheet.pdf" TargetMode="External"/><Relationship Id="rId13" Type="http://schemas.openxmlformats.org/officeDocument/2006/relationships/hyperlink" Target="https://docs.amd.com/r/en-US/pg238-mipi-dsi-tx/Verification-Compliance-and-Interoperability" TargetMode="External"/><Relationship Id="rId14" Type="http://schemas.openxmlformats.org/officeDocument/2006/relationships/hyperlink" Target="https://www.mipi.org/specifications/dsi" TargetMode="External"/><Relationship Id="rId15" Type="http://schemas.openxmlformats.org/officeDocument/2006/relationships/hyperlink" Target="https://docs.amd.com/r/en-US/pg238-mipi-dsi-tx/Verification-Compliance-and-Interoperability" TargetMode="External"/><Relationship Id="rId16" Type="http://schemas.openxmlformats.org/officeDocument/2006/relationships/hyperlink" Target="https://www.mipi.org/specifications/dsi" TargetMode="External"/><Relationship Id="rId17" Type="http://schemas.openxmlformats.org/officeDocument/2006/relationships/hyperlink" Target="https://www.mipi.org/specifications/dsi" TargetMode="External"/><Relationship Id="rId18" Type="http://schemas.openxmlformats.org/officeDocument/2006/relationships/hyperlink" Target="https://www.mipi.org/specifications/dsi" TargetMode="External"/><Relationship Id="rId19" Type="http://schemas.openxmlformats.org/officeDocument/2006/relationships/hyperlink" Target="https://www.mipi.org/specifications/dsi" TargetMode="External"/><Relationship Id="rId20" Type="http://schemas.openxmlformats.org/officeDocument/2006/relationships/hyperlink" Target="https://www.mipi.org/specifications/dsi" TargetMode="External"/><Relationship Id="rId21" Type="http://schemas.openxmlformats.org/officeDocument/2006/relationships/hyperlink" Target="https://www.mipi.org/specifications/dsi" TargetMode="External"/><Relationship Id="rId22" Type="http://schemas.openxmlformats.org/officeDocument/2006/relationships/hyperlink" Target="https://www.mipi.org/specifications/dsi" TargetMode="External"/><Relationship Id="rId23" Type="http://schemas.openxmlformats.org/officeDocument/2006/relationships/hyperlink" Target="https://www.mipi.org/specifications/dsi" TargetMode="External"/><Relationship Id="rId24" Type="http://schemas.openxmlformats.org/officeDocument/2006/relationships/hyperlink" Target="https://www.mipi.org/specifications/dsi" TargetMode="External"/><Relationship Id="rId25" Type="http://schemas.openxmlformats.org/officeDocument/2006/relationships/hyperlink" Target="https://docs.amd.com/r/en-US/pg238-mipi-dsi-tx/Verification-Compliance-and-Interoperability" TargetMode="External"/><Relationship Id="rId26" Type="http://schemas.openxmlformats.org/officeDocument/2006/relationships/hyperlink" Target="https://www.mipi.org/specifications/dsi" TargetMode="External"/><Relationship Id="rId27" Type="http://schemas.openxmlformats.org/officeDocument/2006/relationships/hyperlink" Target="https://cdn.teledynelecroy.com/files/pdf/envision_x84_datasheet.pdf" TargetMode="External"/><Relationship Id="rId28" Type="http://schemas.openxmlformats.org/officeDocument/2006/relationships/hyperlink" Target="https://www.mipi.org/specifications/dsi" TargetMode="External"/><Relationship Id="rId29" Type="http://schemas.openxmlformats.org/officeDocument/2006/relationships/hyperlink" Target="https://cdn.teledynelecroy.com/files/pdf/envision_x84_datasheet.pdf" TargetMode="External"/><Relationship Id="rId30" Type="http://schemas.openxmlformats.org/officeDocument/2006/relationships/hyperlink" Target="https://www.mipi.org/specifications/dsi" TargetMode="External"/><Relationship Id="rId31" Type="http://schemas.openxmlformats.org/officeDocument/2006/relationships/hyperlink" Target="https://docs.amd.com/r/en-US/pg238-mipi-dsi-tx/Verification-Compliance-and-Interoperability" TargetMode="External"/><Relationship Id="rId32" Type="http://schemas.openxmlformats.org/officeDocument/2006/relationships/hyperlink" Target="https://cdn.teledynelecroy.com/files/pdf/envision_x84_datasheet.pdf" TargetMode="External"/><Relationship Id="rId33" Type="http://schemas.openxmlformats.org/officeDocument/2006/relationships/hyperlink" Target="https://cdn.teledynelecroy.com/files/pdf/envision_x84_datasheet.pdf" TargetMode="External"/><Relationship Id="rId34" Type="http://schemas.openxmlformats.org/officeDocument/2006/relationships/hyperlink" Target="https://cdn.teledynelecroy.com/files/pdf/envision_x84_datasheet.pdf" TargetMode="External"/><Relationship Id="rId35" Type="http://schemas.openxmlformats.org/officeDocument/2006/relationships/hyperlink" Target="https://cdn.teledynelecroy.com/files/pdf/envision_x84_datasheet.pdf" TargetMode="External"/><Relationship Id="rId36" Type="http://schemas.openxmlformats.org/officeDocument/2006/relationships/hyperlink" Target="https://cdn.teledynelecroy.com/files/pdf/envision_x84_datasheet.pdf" TargetMode="External"/><Relationship Id="rId37" Type="http://schemas.openxmlformats.org/officeDocument/2006/relationships/hyperlink" Target="https://cdn.teledynelecroy.com/files/pdf/envision_x84_datasheet.pdf" TargetMode="External"/><Relationship Id="rId38" Type="http://schemas.openxmlformats.org/officeDocument/2006/relationships/hyperlink" Target="https://docs.amd.com/r/en-US/pg238-mipi-dsi-tx/Verification-Compliance-and-Interoperability" TargetMode="External"/><Relationship Id="rId39" Type="http://schemas.openxmlformats.org/officeDocument/2006/relationships/hyperlink" Target="https://www.synopsys.com/verification/verification-ip/mipi/mipi-dsi.html" TargetMode="External"/><Relationship Id="rId40" Type="http://schemas.openxmlformats.org/officeDocument/2006/relationships/hyperlink" Target="https://www.synopsys.com/verification/verification-ip/mipi/mipi-dsi.html" TargetMode="External"/><Relationship Id="rId41" Type="http://schemas.openxmlformats.org/officeDocument/2006/relationships/hyperlink" Target="https://www.synopsys.com/verification/verification-ip/mipi/mipi-dsi.html" TargetMode="External"/><Relationship Id="rId42" Type="http://schemas.openxmlformats.org/officeDocument/2006/relationships/hyperlink" Target="https://www.synopsys.com/verification/verification-ip/mipi/mipi-dsi.html" TargetMode="External"/><Relationship Id="rId43" Type="http://schemas.openxmlformats.org/officeDocument/2006/relationships/hyperlink" Target="https://docs.amd.com/r/en-US/pg238-mipi-dsi-tx/Verification-Compliance-and-Interoperability" TargetMode="External"/><Relationship Id="rId44" Type="http://schemas.openxmlformats.org/officeDocument/2006/relationships/hyperlink" Target="https://cdn.teledynelecroy.com/files/pdf/envision_x84_datasheet.pdf" TargetMode="External"/><Relationship Id="rId45" Type="http://schemas.openxmlformats.org/officeDocument/2006/relationships/hyperlink" Target="https://www.mipi.org/specifications/dsi" TargetMode="External"/><Relationship Id="rId46" Type="http://schemas.openxmlformats.org/officeDocument/2006/relationships/hyperlink" Target="https://www.mipi.org/specifications/dsi" TargetMode="External"/><Relationship Id="rId47" Type="http://schemas.openxmlformats.org/officeDocument/2006/relationships/hyperlink" Target="https://cdn.teledynelecroy.com/files/pdf/envision_x84_datasheet.pdf" TargetMode="External"/><Relationship Id="rId48" Type="http://schemas.openxmlformats.org/officeDocument/2006/relationships/hyperlink" Target="https://cdn.teledynelecroy.com/files/pdf/envision_x84_datasheet.pdf" TargetMode="External"/><Relationship Id="rId49" Type="http://schemas.openxmlformats.org/officeDocument/2006/relationships/hyperlink" Target="https://www.synopsys.com/verification/verification-ip/mipi/mipi-dsi.html" TargetMode="External"/><Relationship Id="rId50" Type="http://schemas.openxmlformats.org/officeDocument/2006/relationships/hyperlink" Target="https://www.mipi.org/specifications/dsi" TargetMode="External"/><Relationship Id="rId51" Type="http://schemas.openxmlformats.org/officeDocument/2006/relationships/hyperlink" Target="https://docs.amd.com/r/en-US/pg238-mipi-dsi-tx/Verification-Compliance-and-Interoperability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ipi.org/specifications/dsi" TargetMode="External"/><Relationship Id="rId2" Type="http://schemas.openxmlformats.org/officeDocument/2006/relationships/hyperlink" Target="https://www.mipi.org/specifications/dsi" TargetMode="External"/><Relationship Id="rId3" Type="http://schemas.openxmlformats.org/officeDocument/2006/relationships/hyperlink" Target="https://www.synopsys.com/verification/verification-ip/mipi/mipi-dsi.html" TargetMode="External"/><Relationship Id="rId4" Type="http://schemas.openxmlformats.org/officeDocument/2006/relationships/hyperlink" Target="https://www.mipi.org/specifications/dsi" TargetMode="External"/><Relationship Id="rId5" Type="http://schemas.openxmlformats.org/officeDocument/2006/relationships/hyperlink" Target="https://www.synopsys.com/verification/verification-ip/mipi/mipi-dsi.html" TargetMode="External"/><Relationship Id="rId6" Type="http://schemas.openxmlformats.org/officeDocument/2006/relationships/hyperlink" Target="https://www.mipi.org/specifications/dsi" TargetMode="External"/><Relationship Id="rId7" Type="http://schemas.openxmlformats.org/officeDocument/2006/relationships/hyperlink" Target="https://cdn.teledynelecroy.com/files/pdf/envision_x84_datasheet.pdf" TargetMode="External"/><Relationship Id="rId8" Type="http://schemas.openxmlformats.org/officeDocument/2006/relationships/hyperlink" Target="https://www.synopsys.com/verification/verification-ip/mipi/mipi-dsi.html" TargetMode="External"/><Relationship Id="rId9" Type="http://schemas.openxmlformats.org/officeDocument/2006/relationships/hyperlink" Target="https://www.synopsys.com/verification/verification-ip/mipi/mipi-dsi.html" TargetMode="External"/><Relationship Id="rId10" Type="http://schemas.openxmlformats.org/officeDocument/2006/relationships/hyperlink" Target="https://www.mipi.org/specifications/dsi" TargetMode="External"/><Relationship Id="rId11" Type="http://schemas.openxmlformats.org/officeDocument/2006/relationships/hyperlink" Target="https://www.mipi.org/specifications/dsi" TargetMode="External"/><Relationship Id="rId12" Type="http://schemas.openxmlformats.org/officeDocument/2006/relationships/hyperlink" Target="https://www.mipi.org/specifications/dsi" TargetMode="External"/><Relationship Id="rId13" Type="http://schemas.openxmlformats.org/officeDocument/2006/relationships/hyperlink" Target="https://www.mipi.org/specifications/dsi" TargetMode="External"/><Relationship Id="rId14" Type="http://schemas.openxmlformats.org/officeDocument/2006/relationships/hyperlink" Target="https://www.mipi.org/specifications/dsi" TargetMode="External"/><Relationship Id="rId15" Type="http://schemas.openxmlformats.org/officeDocument/2006/relationships/hyperlink" Target="https://www.mipi.org/specifications/dsi" TargetMode="External"/><Relationship Id="rId16" Type="http://schemas.openxmlformats.org/officeDocument/2006/relationships/hyperlink" Target="https://www.mipi.org/specifications/dsi" TargetMode="External"/><Relationship Id="rId17" Type="http://schemas.openxmlformats.org/officeDocument/2006/relationships/hyperlink" Target="https://www.mipi.org/specifications/dsi" TargetMode="External"/><Relationship Id="rId18" Type="http://schemas.openxmlformats.org/officeDocument/2006/relationships/hyperlink" Target="https://docs.amd.com/r/en-US/pg238-mipi-dsi-tx/Verification-Compliance-and-Interoperability" TargetMode="External"/><Relationship Id="rId19" Type="http://schemas.openxmlformats.org/officeDocument/2006/relationships/hyperlink" Target="https://www.mipi.org/specifications/dsi" TargetMode="External"/><Relationship Id="rId20" Type="http://schemas.openxmlformats.org/officeDocument/2006/relationships/hyperlink" Target="https://cdn.teledynelecroy.com/files/pdf/envision_x84_datasheet.pdf" TargetMode="External"/><Relationship Id="rId21" Type="http://schemas.openxmlformats.org/officeDocument/2006/relationships/hyperlink" Target="https://www.mipi.org/specifications/dsi" TargetMode="External"/><Relationship Id="rId22" Type="http://schemas.openxmlformats.org/officeDocument/2006/relationships/hyperlink" Target="https://www.mipi.org/specifications/dsi" TargetMode="External"/><Relationship Id="rId23" Type="http://schemas.openxmlformats.org/officeDocument/2006/relationships/hyperlink" Target="https://cdn.teledynelecroy.com/files/pdf/envision_x84_datasheet.pdf" TargetMode="External"/><Relationship Id="rId24" Type="http://schemas.openxmlformats.org/officeDocument/2006/relationships/hyperlink" Target="https://cdn.teledynelecroy.com/files/pdf/envision_x84_datasheet.pdf" TargetMode="External"/><Relationship Id="rId25" Type="http://schemas.openxmlformats.org/officeDocument/2006/relationships/hyperlink" Target="https://cdn.teledynelecroy.com/files/pdf/envision_x84_datasheet.pdf" TargetMode="External"/><Relationship Id="rId26" Type="http://schemas.openxmlformats.org/officeDocument/2006/relationships/hyperlink" Target="https://cdn.teledynelecroy.com/files/pdf/envision_x84_datasheet.pdf" TargetMode="External"/><Relationship Id="rId27" Type="http://schemas.openxmlformats.org/officeDocument/2006/relationships/hyperlink" Target="https://cdn.teledynelecroy.com/files/pdf/envision_x84_datasheet.pdf" TargetMode="External"/><Relationship Id="rId28" Type="http://schemas.openxmlformats.org/officeDocument/2006/relationships/hyperlink" Target="https://cdn.teledynelecroy.com/files/pdf/envision_x84_datasheet.pdf" TargetMode="External"/><Relationship Id="rId29" Type="http://schemas.openxmlformats.org/officeDocument/2006/relationships/hyperlink" Target="https://cdn.teledynelecroy.com/files/pdf/envision_x84_datasheet.pdf" TargetMode="External"/><Relationship Id="rId30" Type="http://schemas.openxmlformats.org/officeDocument/2006/relationships/hyperlink" Target="https://docs.amd.com/r/en-US/pg238-mipi-dsi-tx/Verification-Compliance-and-Interoperability" TargetMode="External"/><Relationship Id="rId31" Type="http://schemas.openxmlformats.org/officeDocument/2006/relationships/hyperlink" Target="https://www.synopsys.com/verification/verification-ip/mipi/mipi-dsi.html" TargetMode="External"/><Relationship Id="rId32" Type="http://schemas.openxmlformats.org/officeDocument/2006/relationships/hyperlink" Target="https://www.synopsys.com/verification/verification-ip/mipi/mipi-dsi.html" TargetMode="External"/><Relationship Id="rId33" Type="http://schemas.openxmlformats.org/officeDocument/2006/relationships/hyperlink" Target="https://www.synopsys.com/verification/verification-ip/mipi/mipi-dsi.html" TargetMode="External"/><Relationship Id="rId34" Type="http://schemas.openxmlformats.org/officeDocument/2006/relationships/hyperlink" Target="https://www.synopsys.com/verification/verification-ip/mipi/mipi-dsi.html" TargetMode="External"/><Relationship Id="rId35" Type="http://schemas.openxmlformats.org/officeDocument/2006/relationships/hyperlink" Target="https://docs.amd.com/r/en-US/pg238-mipi-dsi-tx/Verification-Compliance-and-Interoperability" TargetMode="External"/><Relationship Id="rId36" Type="http://schemas.openxmlformats.org/officeDocument/2006/relationships/hyperlink" Target="https://cdn.teledynelecroy.com/files/pdf/envision_x84_datasheet.pdf" TargetMode="External"/><Relationship Id="rId37" Type="http://schemas.openxmlformats.org/officeDocument/2006/relationships/hyperlink" Target="https://www.mipi.org/specifications/dsi" TargetMode="External"/><Relationship Id="rId38" Type="http://schemas.openxmlformats.org/officeDocument/2006/relationships/hyperlink" Target="https://www.mipi.org/specifications/dsi" TargetMode="External"/><Relationship Id="rId39" Type="http://schemas.openxmlformats.org/officeDocument/2006/relationships/hyperlink" Target="https://cdn.teledynelecroy.com/files/pdf/envision_x84_datasheet.pdf" TargetMode="External"/><Relationship Id="rId40" Type="http://schemas.openxmlformats.org/officeDocument/2006/relationships/hyperlink" Target="https://cdn.teledynelecroy.com/files/pdf/envision_x84_datasheet.pdf" TargetMode="External"/><Relationship Id="rId41" Type="http://schemas.openxmlformats.org/officeDocument/2006/relationships/hyperlink" Target="https://www.synopsys.com/verification/verification-ip/mipi/mipi-dsi.html" TargetMode="External"/><Relationship Id="rId42" Type="http://schemas.openxmlformats.org/officeDocument/2006/relationships/hyperlink" Target="https://www.mipi.org/specifications/dsi" TargetMode="External"/><Relationship Id="rId43" Type="http://schemas.openxmlformats.org/officeDocument/2006/relationships/hyperlink" Target="https://docs.amd.com/r/en-US/pg238-mipi-dsi-tx/Verification-Compliance-and-Interoperability" TargetMode="External"/><Relationship Id="rId44" Type="http://schemas.openxmlformats.org/officeDocument/2006/relationships/hyperlink" Target="https://www.mipi.org/specifications/dsi" TargetMode="External"/><Relationship Id="rId45" Type="http://schemas.openxmlformats.org/officeDocument/2006/relationships/hyperlink" Target="https://www.mipi.org/specifications/dsi" TargetMode="External"/><Relationship Id="rId46" Type="http://schemas.openxmlformats.org/officeDocument/2006/relationships/hyperlink" Target="https://www.synopsys.com/verification/verification-ip/mipi/mipi-dsi.html" TargetMode="External"/><Relationship Id="rId47" Type="http://schemas.openxmlformats.org/officeDocument/2006/relationships/hyperlink" Target="https://www.mipi.org/specifications/dsi" TargetMode="External"/><Relationship Id="rId48" Type="http://schemas.openxmlformats.org/officeDocument/2006/relationships/hyperlink" Target="https://www.synopsys.com/verification/verification-ip/mipi/mipi-dsi.html" TargetMode="External"/><Relationship Id="rId49" Type="http://schemas.openxmlformats.org/officeDocument/2006/relationships/hyperlink" Target="https://www.mipi.org/specifications/dsi" TargetMode="External"/><Relationship Id="rId50" Type="http://schemas.openxmlformats.org/officeDocument/2006/relationships/hyperlink" Target="https://cdn.teledynelecroy.com/files/pdf/envision_x84_datasheet.pdf" TargetMode="External"/><Relationship Id="rId51" Type="http://schemas.openxmlformats.org/officeDocument/2006/relationships/hyperlink" Target="https://www.synopsys.com/verification/verification-ip/mipi/mipi-dsi.html" TargetMode="External"/><Relationship Id="rId52" Type="http://schemas.openxmlformats.org/officeDocument/2006/relationships/hyperlink" Target="https://www.synopsys.com/verification/verification-ip/mipi/mipi-dsi.html" TargetMode="External"/><Relationship Id="rId53" Type="http://schemas.openxmlformats.org/officeDocument/2006/relationships/hyperlink" Target="https://www.synopsys.com/verification/verification-ip/mipi/mipi-dsi.html" TargetMode="External"/><Relationship Id="rId54" Type="http://schemas.openxmlformats.org/officeDocument/2006/relationships/hyperlink" Target="https://cdn.teledynelecroy.com/files/pdf/envision_x84_datasheet.pdf" TargetMode="External"/><Relationship Id="rId55" Type="http://schemas.openxmlformats.org/officeDocument/2006/relationships/hyperlink" Target="https://cdn.teledynelecroy.com/files/pdf/envision_x84_datasheet.pdf" TargetMode="External"/><Relationship Id="rId56" Type="http://schemas.openxmlformats.org/officeDocument/2006/relationships/hyperlink" Target="https://docs.amd.com/r/en-US/pg238-mipi-dsi-tx/Verification-Compliance-and-Interoperability" TargetMode="External"/><Relationship Id="rId57" Type="http://schemas.openxmlformats.org/officeDocument/2006/relationships/hyperlink" Target="https://www.mipi.org/specifications/dsi" TargetMode="External"/><Relationship Id="rId58" Type="http://schemas.openxmlformats.org/officeDocument/2006/relationships/hyperlink" Target="https://docs.amd.com/r/en-US/pg238-mipi-dsi-tx/Verification-Compliance-and-Interoperability" TargetMode="External"/><Relationship Id="rId59" Type="http://schemas.openxmlformats.org/officeDocument/2006/relationships/hyperlink" Target="https://www.mipi.org/specifications/dsi" TargetMode="External"/><Relationship Id="rId60" Type="http://schemas.openxmlformats.org/officeDocument/2006/relationships/hyperlink" Target="https://www.mipi.org/specifications/dsi" TargetMode="External"/><Relationship Id="rId61" Type="http://schemas.openxmlformats.org/officeDocument/2006/relationships/hyperlink" Target="https://www.mipi.org/specifications/dsi" TargetMode="External"/><Relationship Id="rId62" Type="http://schemas.openxmlformats.org/officeDocument/2006/relationships/hyperlink" Target="https://www.mipi.org/specifications/dsi" TargetMode="External"/><Relationship Id="rId63" Type="http://schemas.openxmlformats.org/officeDocument/2006/relationships/hyperlink" Target="https://www.mipi.org/specifications/dsi" TargetMode="External"/><Relationship Id="rId64" Type="http://schemas.openxmlformats.org/officeDocument/2006/relationships/hyperlink" Target="https://www.mipi.org/specifications/dsi" TargetMode="External"/><Relationship Id="rId65" Type="http://schemas.openxmlformats.org/officeDocument/2006/relationships/hyperlink" Target="https://www.mipi.org/specifications/dsi" TargetMode="External"/><Relationship Id="rId66" Type="http://schemas.openxmlformats.org/officeDocument/2006/relationships/hyperlink" Target="https://www.mipi.org/specifications/dsi" TargetMode="External"/><Relationship Id="rId67" Type="http://schemas.openxmlformats.org/officeDocument/2006/relationships/hyperlink" Target="https://www.mipi.org/specifications/dsi" TargetMode="External"/><Relationship Id="rId68" Type="http://schemas.openxmlformats.org/officeDocument/2006/relationships/hyperlink" Target="https://docs.amd.com/r/en-US/pg238-mipi-dsi-tx/Verification-Compliance-and-Interoperability" TargetMode="External"/><Relationship Id="rId69" Type="http://schemas.openxmlformats.org/officeDocument/2006/relationships/hyperlink" Target="https://www.mipi.org/specifications/dsi" TargetMode="External"/><Relationship Id="rId70" Type="http://schemas.openxmlformats.org/officeDocument/2006/relationships/hyperlink" Target="https://cdn.teledynelecroy.com/files/pdf/envision_x84_datasheet.pdf" TargetMode="External"/><Relationship Id="rId71" Type="http://schemas.openxmlformats.org/officeDocument/2006/relationships/hyperlink" Target="https://www.mipi.org/specifications/dsi" TargetMode="External"/><Relationship Id="rId72" Type="http://schemas.openxmlformats.org/officeDocument/2006/relationships/hyperlink" Target="https://cdn.teledynelecroy.com/files/pdf/envision_x84_datasheet.pdf" TargetMode="External"/><Relationship Id="rId73" Type="http://schemas.openxmlformats.org/officeDocument/2006/relationships/hyperlink" Target="https://www.mipi.org/specifications/dsi" TargetMode="External"/><Relationship Id="rId74" Type="http://schemas.openxmlformats.org/officeDocument/2006/relationships/hyperlink" Target="https://docs.amd.com/r/en-US/pg238-mipi-dsi-tx/Verification-Compliance-and-Interoperability" TargetMode="External"/><Relationship Id="rId75" Type="http://schemas.openxmlformats.org/officeDocument/2006/relationships/hyperlink" Target="https://cdn.teledynelecroy.com/files/pdf/envision_x84_datasheet.pdf" TargetMode="External"/><Relationship Id="rId76" Type="http://schemas.openxmlformats.org/officeDocument/2006/relationships/hyperlink" Target="https://cdn.teledynelecroy.com/files/pdf/envision_x84_datasheet.pdf" TargetMode="External"/><Relationship Id="rId77" Type="http://schemas.openxmlformats.org/officeDocument/2006/relationships/hyperlink" Target="https://cdn.teledynelecroy.com/files/pdf/envision_x84_datasheet.pdf" TargetMode="External"/><Relationship Id="rId78" Type="http://schemas.openxmlformats.org/officeDocument/2006/relationships/hyperlink" Target="https://cdn.teledynelecroy.com/files/pdf/envision_x84_datasheet.pdf" TargetMode="External"/><Relationship Id="rId79" Type="http://schemas.openxmlformats.org/officeDocument/2006/relationships/hyperlink" Target="https://cdn.teledynelecroy.com/files/pdf/envision_x84_datasheet.pdf" TargetMode="External"/><Relationship Id="rId80" Type="http://schemas.openxmlformats.org/officeDocument/2006/relationships/hyperlink" Target="https://cdn.teledynelecroy.com/files/pdf/envision_x84_datasheet.pdf" TargetMode="External"/><Relationship Id="rId81" Type="http://schemas.openxmlformats.org/officeDocument/2006/relationships/hyperlink" Target="https://docs.amd.com/r/en-US/pg238-mipi-dsi-tx/Verification-Compliance-and-Interoperability" TargetMode="External"/><Relationship Id="rId82" Type="http://schemas.openxmlformats.org/officeDocument/2006/relationships/hyperlink" Target="https://www.synopsys.com/verification/verification-ip/mipi/mipi-dsi.html" TargetMode="External"/><Relationship Id="rId83" Type="http://schemas.openxmlformats.org/officeDocument/2006/relationships/hyperlink" Target="https://www.synopsys.com/verification/verification-ip/mipi/mipi-dsi.html" TargetMode="External"/><Relationship Id="rId84" Type="http://schemas.openxmlformats.org/officeDocument/2006/relationships/hyperlink" Target="https://www.synopsys.com/verification/verification-ip/mipi/mipi-dsi.html" TargetMode="External"/><Relationship Id="rId85" Type="http://schemas.openxmlformats.org/officeDocument/2006/relationships/hyperlink" Target="https://www.synopsys.com/verification/verification-ip/mipi/mipi-dsi.html" TargetMode="External"/><Relationship Id="rId86" Type="http://schemas.openxmlformats.org/officeDocument/2006/relationships/hyperlink" Target="https://docs.amd.com/r/en-US/pg238-mipi-dsi-tx/Verification-Compliance-and-Interoperability" TargetMode="External"/><Relationship Id="rId87" Type="http://schemas.openxmlformats.org/officeDocument/2006/relationships/hyperlink" Target="https://cdn.teledynelecroy.com/files/pdf/envision_x84_datasheet.pdf" TargetMode="External"/><Relationship Id="rId88" Type="http://schemas.openxmlformats.org/officeDocument/2006/relationships/hyperlink" Target="https://www.mipi.org/specifications/dsi" TargetMode="External"/><Relationship Id="rId89" Type="http://schemas.openxmlformats.org/officeDocument/2006/relationships/hyperlink" Target="https://www.mipi.org/specifications/dsi" TargetMode="External"/><Relationship Id="rId90" Type="http://schemas.openxmlformats.org/officeDocument/2006/relationships/hyperlink" Target="https://cdn.teledynelecroy.com/files/pdf/envision_x84_datasheet.pdf" TargetMode="External"/><Relationship Id="rId91" Type="http://schemas.openxmlformats.org/officeDocument/2006/relationships/hyperlink" Target="https://cdn.teledynelecroy.com/files/pdf/envision_x84_datasheet.pdf" TargetMode="External"/><Relationship Id="rId92" Type="http://schemas.openxmlformats.org/officeDocument/2006/relationships/hyperlink" Target="https://www.synopsys.com/verification/verification-ip/mipi/mipi-dsi.html" TargetMode="External"/><Relationship Id="rId93" Type="http://schemas.openxmlformats.org/officeDocument/2006/relationships/hyperlink" Target="https://www.mipi.org/specifications/dsi" TargetMode="External"/><Relationship Id="rId94" Type="http://schemas.openxmlformats.org/officeDocument/2006/relationships/hyperlink" Target="https://docs.amd.com/r/en-US/pg238-mipi-dsi-tx/Verification-Compliance-and-Interoperability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ipi.org/specifications/dsi" TargetMode="External"/><Relationship Id="rId2" Type="http://schemas.openxmlformats.org/officeDocument/2006/relationships/hyperlink" Target="https://cdn.teledynelecroy.com/files/pdf/envision_x84_datasheet.pdf" TargetMode="External"/><Relationship Id="rId3" Type="http://schemas.openxmlformats.org/officeDocument/2006/relationships/hyperlink" Target="https://www.synopsys.com/verification/verification-ip/mipi/mipi-dsi.html" TargetMode="External"/><Relationship Id="rId4" Type="http://schemas.openxmlformats.org/officeDocument/2006/relationships/hyperlink" Target="https://docs.amd.com/r/en-US/pg238-mipi-dsi-tx/Verification-Compliance-and-Interoperabilit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7365D"/>
    <pageSetUpPr fitToPage="1"/>
  </sheetPr>
  <dimension ref="A1:H32"/>
  <sheetViews>
    <sheetView showGridLines="0" tabSelected="1" workbookViewId="0">
      <pane ySplit="4" topLeftCell="A5" activePane="bottomLeft" state="frozen"/>
      <selection pane="bottomLeft"/>
    </sheetView>
  </sheetViews>
  <sheetFormatPr defaultRowHeight="15"/>
  <cols>
    <col min="1" max="1" width="8.7109375" customWidth="1"/>
    <col min="2" max="2" width="23.7109375" customWidth="1"/>
    <col min="3" max="3" width="8.7109375" customWidth="1"/>
    <col min="4" max="4" width="23.7109375" customWidth="1"/>
    <col min="5" max="5" width="8.7109375" customWidth="1"/>
    <col min="6" max="6" width="23.7109375" customWidth="1"/>
    <col min="7" max="7" width="8.7109375" customWidth="1"/>
    <col min="8" max="8" width="23.7109375" customWidth="1"/>
  </cols>
  <sheetData>
    <row r="1" spans="1:8" ht="33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30" customHeight="1">
      <c r="A2" s="2" t="s">
        <v>1</v>
      </c>
      <c r="B2" s="2"/>
      <c r="C2" s="2"/>
      <c r="D2" s="2"/>
      <c r="E2" s="2"/>
      <c r="F2" s="2"/>
      <c r="G2" s="2"/>
      <c r="H2" s="2"/>
    </row>
    <row r="3" spans="1:8" ht="30" customHeight="1">
      <c r="A3" s="2"/>
      <c r="B3" s="2"/>
      <c r="C3" s="2"/>
      <c r="D3" s="2"/>
      <c r="E3" s="2"/>
      <c r="F3" s="2"/>
      <c r="G3" s="2"/>
      <c r="H3" s="2"/>
    </row>
    <row r="5" spans="1:8" ht="23" customHeight="1">
      <c r="A5" s="3" t="s">
        <v>2</v>
      </c>
      <c r="B5" s="3"/>
      <c r="C5" s="3" t="s">
        <v>3</v>
      </c>
      <c r="D5" s="3"/>
      <c r="E5" s="3" t="s">
        <v>4</v>
      </c>
      <c r="F5" s="3"/>
      <c r="G5" s="3" t="s">
        <v>5</v>
      </c>
      <c r="H5" s="3"/>
    </row>
    <row r="6" spans="1:8" ht="28" customHeight="1">
      <c r="A6" s="4">
        <f>COUNTA('실행_체크리스트'!$A$5:$A$500)</f>
        <v>94</v>
      </c>
      <c r="B6" s="4"/>
      <c r="C6" s="4">
        <f>COUNTIF('실행_체크리스트'!$B$5:$B$500,"송신기 (Tx)")</f>
        <v>43</v>
      </c>
      <c r="D6" s="4"/>
      <c r="E6" s="4">
        <f>COUNTIF('실행_체크리스트'!$B$5:$B$500,"수신기 (Rx)")</f>
        <v>51</v>
      </c>
      <c r="F6" s="4"/>
      <c r="G6" s="4">
        <f>COUNTIF('실행_체크리스트'!$H$5:$H$500,"P0")</f>
        <v>47</v>
      </c>
      <c r="H6" s="4"/>
    </row>
    <row r="7" spans="1:8" ht="12" customHeight="1">
      <c r="A7" s="4"/>
      <c r="B7" s="4"/>
      <c r="C7" s="4"/>
      <c r="D7" s="4"/>
      <c r="E7" s="4"/>
      <c r="F7" s="4"/>
      <c r="G7" s="4"/>
      <c r="H7" s="4"/>
    </row>
    <row r="9" spans="1:8">
      <c r="A9" s="3" t="s">
        <v>6</v>
      </c>
      <c r="B9" s="3"/>
      <c r="C9" s="3" t="s">
        <v>7</v>
      </c>
      <c r="D9" s="3"/>
      <c r="E9" s="3" t="s">
        <v>8</v>
      </c>
      <c r="F9" s="3"/>
      <c r="G9" s="3" t="s">
        <v>9</v>
      </c>
      <c r="H9" s="3"/>
    </row>
    <row r="10" spans="1:8">
      <c r="A10" s="4">
        <f>COUNTIF('실행_체크리스트'!$I$5:$I$500,"적용")</f>
        <v>18</v>
      </c>
      <c r="B10" s="4"/>
      <c r="C10" s="4">
        <f>COUNTIF('실행_체크리스트'!$J$5:$J$500,"완료")</f>
        <v>0</v>
      </c>
      <c r="D10" s="4"/>
      <c r="E10" s="4">
        <f>COUNTIF('실행_체크리스트'!$K$5:$K$500,"Pass")</f>
        <v>0</v>
      </c>
      <c r="F10" s="4"/>
      <c r="G10" s="4">
        <f>COUNTIF('실행_체크리스트'!$K$5:$K$500,"Fail")</f>
        <v>0</v>
      </c>
      <c r="H10" s="4"/>
    </row>
    <row r="11" spans="1:8">
      <c r="A11" s="4"/>
      <c r="B11" s="4"/>
      <c r="C11" s="4"/>
      <c r="D11" s="4"/>
      <c r="E11" s="4"/>
      <c r="F11" s="4"/>
      <c r="G11" s="4"/>
      <c r="H11" s="4"/>
    </row>
    <row r="13" spans="1:8">
      <c r="A13" s="3" t="s">
        <v>10</v>
      </c>
      <c r="B13" s="5">
        <f>IF(COUNTIF('실행_체크리스트'!$I$5:$I$500,"적용")=0,0,COUNTIF('실행_체크리스트'!$J$5:$J$500,"완료")/COUNTIF('실행_체크리스트'!$I$5:$I$500,"적용"))</f>
        <v>0</v>
      </c>
      <c r="C13" s="5"/>
      <c r="D13" s="6" t="s">
        <v>11</v>
      </c>
      <c r="E13" s="6"/>
      <c r="F13" s="6"/>
      <c r="G13" s="6"/>
      <c r="H13" s="6"/>
    </row>
    <row r="14" spans="1:8">
      <c r="B14" s="5"/>
      <c r="C14" s="5"/>
      <c r="D14" s="6"/>
      <c r="E14" s="6"/>
      <c r="F14" s="6"/>
      <c r="G14" s="6"/>
      <c r="H14" s="6"/>
    </row>
    <row r="16" spans="1:8">
      <c r="A16" s="7" t="s">
        <v>12</v>
      </c>
      <c r="B16" s="7"/>
      <c r="C16" s="7"/>
      <c r="D16" s="7"/>
      <c r="E16" s="7"/>
      <c r="F16" s="7"/>
      <c r="G16" s="7"/>
      <c r="H16" s="7"/>
    </row>
    <row r="17" spans="1:8">
      <c r="A17" s="8" t="s">
        <v>13</v>
      </c>
      <c r="B17" s="8" t="s">
        <v>14</v>
      </c>
      <c r="C17" s="8" t="s">
        <v>15</v>
      </c>
      <c r="D17" s="8"/>
      <c r="E17" s="8" t="s">
        <v>13</v>
      </c>
      <c r="F17" s="8" t="s">
        <v>14</v>
      </c>
      <c r="G17" s="8" t="s">
        <v>15</v>
      </c>
      <c r="H17" s="8"/>
    </row>
    <row r="18" spans="1:8" ht="24" customHeight="1">
      <c r="A18" s="9" t="s">
        <v>16</v>
      </c>
      <c r="B18" s="10" t="s">
        <v>17</v>
      </c>
      <c r="C18" s="9">
        <f>COUNTIFS('실행_체크리스트'!$B$5:$B$500,"송신기 (Tx)",'실행_체크리스트'!$C$5:$C$500,B18)</f>
        <v>7</v>
      </c>
      <c r="E18" s="9" t="s">
        <v>18</v>
      </c>
      <c r="F18" s="10" t="s">
        <v>19</v>
      </c>
      <c r="G18" s="9">
        <f>COUNTIFS('실행_체크리스트'!$B$5:$B$500,"수신기 (Rx)",'실행_체크리스트'!$C$5:$C$500,F18)</f>
        <v>7</v>
      </c>
    </row>
    <row r="19" spans="1:8" ht="24" customHeight="1">
      <c r="A19" s="9" t="s">
        <v>16</v>
      </c>
      <c r="B19" s="11" t="s">
        <v>20</v>
      </c>
      <c r="C19" s="9">
        <f>COUNTIFS('실행_체크리스트'!$B$5:$B$500,"송신기 (Tx)",'실행_체크리스트'!$C$5:$C$500,B19)</f>
        <v>2</v>
      </c>
      <c r="E19" s="9" t="s">
        <v>18</v>
      </c>
      <c r="F19" s="11" t="s">
        <v>21</v>
      </c>
      <c r="G19" s="9">
        <f>COUNTIFS('실행_체크리스트'!$B$5:$B$500,"수신기 (Rx)",'실행_체크리스트'!$C$5:$C$500,F19)</f>
        <v>8</v>
      </c>
    </row>
    <row r="20" spans="1:8" ht="24" customHeight="1">
      <c r="A20" s="9" t="s">
        <v>16</v>
      </c>
      <c r="B20" s="12" t="s">
        <v>22</v>
      </c>
      <c r="C20" s="9">
        <f>COUNTIFS('실행_체크리스트'!$B$5:$B$500,"송신기 (Tx)",'실행_체크리스트'!$C$5:$C$500,B20)</f>
        <v>9</v>
      </c>
      <c r="E20" s="9" t="s">
        <v>18</v>
      </c>
      <c r="F20" s="12" t="s">
        <v>23</v>
      </c>
      <c r="G20" s="9">
        <f>COUNTIFS('실행_체크리스트'!$B$5:$B$500,"수신기 (Rx)",'실행_체크리스트'!$C$5:$C$500,F20)</f>
        <v>12</v>
      </c>
    </row>
    <row r="21" spans="1:8" ht="24" customHeight="1">
      <c r="A21" s="9" t="s">
        <v>16</v>
      </c>
      <c r="B21" s="13" t="s">
        <v>24</v>
      </c>
      <c r="C21" s="9">
        <f>COUNTIFS('실행_체크리스트'!$B$5:$B$500,"송신기 (Tx)",'실행_체크리스트'!$C$5:$C$500,B21)</f>
        <v>4</v>
      </c>
      <c r="E21" s="9" t="s">
        <v>18</v>
      </c>
      <c r="F21" s="13" t="s">
        <v>25</v>
      </c>
      <c r="G21" s="9">
        <f>COUNTIFS('실행_체크리스트'!$B$5:$B$500,"수신기 (Rx)",'실행_체크리스트'!$C$5:$C$500,F21)</f>
        <v>4</v>
      </c>
    </row>
    <row r="22" spans="1:8" ht="24" customHeight="1">
      <c r="A22" s="9" t="s">
        <v>16</v>
      </c>
      <c r="B22" s="14" t="s">
        <v>26</v>
      </c>
      <c r="C22" s="9">
        <f>COUNTIFS('실행_체크리스트'!$B$5:$B$500,"송신기 (Tx)",'실행_체크리스트'!$C$5:$C$500,B22)</f>
        <v>8</v>
      </c>
      <c r="E22" s="9" t="s">
        <v>18</v>
      </c>
      <c r="F22" s="14" t="s">
        <v>26</v>
      </c>
      <c r="G22" s="9">
        <f>COUNTIFS('실행_체크리스트'!$B$5:$B$500,"수신기 (Rx)",'실행_체크리스트'!$C$5:$C$500,F22)</f>
        <v>7</v>
      </c>
    </row>
    <row r="23" spans="1:8" ht="24" customHeight="1">
      <c r="A23" s="9" t="s">
        <v>16</v>
      </c>
      <c r="B23" s="15" t="s">
        <v>27</v>
      </c>
      <c r="C23" s="9">
        <f>COUNTIFS('실행_체크리스트'!$B$5:$B$500,"송신기 (Tx)",'실행_체크리스트'!$C$5:$C$500,B23)</f>
        <v>6</v>
      </c>
      <c r="E23" s="9" t="s">
        <v>18</v>
      </c>
      <c r="F23" s="15" t="s">
        <v>27</v>
      </c>
      <c r="G23" s="9">
        <f>COUNTIFS('실행_체크리스트'!$B$5:$B$500,"수신기 (Rx)",'실행_체크리스트'!$C$5:$C$500,F23)</f>
        <v>6</v>
      </c>
    </row>
    <row r="24" spans="1:8" ht="24" customHeight="1">
      <c r="A24" s="9" t="s">
        <v>16</v>
      </c>
      <c r="B24" s="11" t="s">
        <v>28</v>
      </c>
      <c r="C24" s="9">
        <f>COUNTIFS('실행_체크리스트'!$B$5:$B$500,"송신기 (Tx)",'실행_체크리스트'!$C$5:$C$500,B24)</f>
        <v>2</v>
      </c>
      <c r="E24" s="9" t="s">
        <v>18</v>
      </c>
      <c r="F24" s="11" t="s">
        <v>28</v>
      </c>
      <c r="G24" s="9">
        <f>COUNTIFS('실행_체크리스트'!$B$5:$B$500,"수신기 (Rx)",'실행_체크리스트'!$C$5:$C$500,F24)</f>
        <v>2</v>
      </c>
    </row>
    <row r="25" spans="1:8" ht="24" customHeight="1">
      <c r="A25" s="9" t="s">
        <v>16</v>
      </c>
      <c r="B25" s="13" t="s">
        <v>29</v>
      </c>
      <c r="C25" s="9">
        <f>COUNTIFS('실행_체크리스트'!$B$5:$B$500,"송신기 (Tx)",'실행_체크리스트'!$C$5:$C$500,B25)</f>
        <v>5</v>
      </c>
      <c r="E25" s="9" t="s">
        <v>18</v>
      </c>
      <c r="F25" s="13" t="s">
        <v>29</v>
      </c>
      <c r="G25" s="9">
        <f>COUNTIFS('실행_체크리스트'!$B$5:$B$500,"수신기 (Rx)",'실행_체크리스트'!$C$5:$C$500,F25)</f>
        <v>5</v>
      </c>
    </row>
    <row r="28" spans="1:8">
      <c r="A28" s="7" t="s">
        <v>30</v>
      </c>
      <c r="B28" s="7"/>
      <c r="C28" s="7"/>
      <c r="D28" s="7"/>
      <c r="E28" s="7"/>
      <c r="F28" s="7"/>
      <c r="G28" s="7"/>
      <c r="H28" s="7"/>
    </row>
    <row r="29" spans="1:8" ht="31" customHeight="1">
      <c r="A29" s="3" t="s">
        <v>31</v>
      </c>
      <c r="B29" s="16" t="s">
        <v>32</v>
      </c>
      <c r="C29" s="16"/>
      <c r="D29" s="16"/>
      <c r="E29" s="16"/>
      <c r="F29" s="16"/>
      <c r="G29" s="16"/>
      <c r="H29" s="16"/>
    </row>
    <row r="30" spans="1:8" ht="31" customHeight="1">
      <c r="A30" s="3" t="s">
        <v>33</v>
      </c>
      <c r="B30" s="16" t="s">
        <v>34</v>
      </c>
      <c r="C30" s="16"/>
      <c r="D30" s="16"/>
      <c r="E30" s="16"/>
      <c r="F30" s="16"/>
      <c r="G30" s="16"/>
      <c r="H30" s="16"/>
    </row>
    <row r="31" spans="1:8" ht="31" customHeight="1">
      <c r="A31" s="3" t="s">
        <v>35</v>
      </c>
      <c r="B31" s="16" t="s">
        <v>36</v>
      </c>
      <c r="C31" s="16"/>
      <c r="D31" s="16"/>
      <c r="E31" s="16"/>
      <c r="F31" s="16"/>
      <c r="G31" s="16"/>
      <c r="H31" s="16"/>
    </row>
    <row r="32" spans="1:8" ht="31" customHeight="1">
      <c r="A32" s="3" t="s">
        <v>37</v>
      </c>
      <c r="B32" s="16" t="s">
        <v>38</v>
      </c>
      <c r="C32" s="16"/>
      <c r="D32" s="16"/>
      <c r="E32" s="16"/>
      <c r="F32" s="16"/>
      <c r="G32" s="16"/>
      <c r="H32" s="16"/>
    </row>
  </sheetData>
  <mergeCells count="26">
    <mergeCell ref="A1:H1"/>
    <mergeCell ref="A2:H3"/>
    <mergeCell ref="A5:B5"/>
    <mergeCell ref="A6:B7"/>
    <mergeCell ref="C5:D5"/>
    <mergeCell ref="C6:D7"/>
    <mergeCell ref="E5:F5"/>
    <mergeCell ref="E6:F7"/>
    <mergeCell ref="G5:H5"/>
    <mergeCell ref="G6:H7"/>
    <mergeCell ref="A9:B9"/>
    <mergeCell ref="A10:B11"/>
    <mergeCell ref="C9:D9"/>
    <mergeCell ref="C10:D11"/>
    <mergeCell ref="E9:F9"/>
    <mergeCell ref="E10:F11"/>
    <mergeCell ref="G9:H9"/>
    <mergeCell ref="G10:H11"/>
    <mergeCell ref="B13:C14"/>
    <mergeCell ref="D13:H14"/>
    <mergeCell ref="A16:H16"/>
    <mergeCell ref="A28:H28"/>
    <mergeCell ref="B29:H29"/>
    <mergeCell ref="B30:H30"/>
    <mergeCell ref="B31:H31"/>
    <mergeCell ref="B32:H32"/>
  </mergeCells>
  <pageMargins left="0.3" right="0.3" top="0.4" bottom="0.4" header="0.3" footer="0.3"/>
  <pageSetup paperSize="9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F4E78"/>
    <pageSetUpPr fitToPage="1"/>
  </sheetPr>
  <dimension ref="A1:H47"/>
  <sheetViews>
    <sheetView showGridLines="0" workbookViewId="0">
      <pane ySplit="4" topLeftCell="A5" activePane="bottomLeft" state="frozen"/>
      <selection pane="bottomLeft"/>
    </sheetView>
  </sheetViews>
  <sheetFormatPr defaultRowHeight="18" customHeight="1"/>
  <cols>
    <col min="1" max="1" width="15.7109375" customWidth="1"/>
    <col min="2" max="2" width="20.7109375" customWidth="1"/>
    <col min="3" max="3" width="27.7109375" customWidth="1"/>
    <col min="4" max="4" width="46.7109375" customWidth="1"/>
    <col min="5" max="5" width="50.7109375" customWidth="1"/>
    <col min="6" max="6" width="22.7109375" customWidth="1"/>
    <col min="7" max="7" width="10.7109375" customWidth="1"/>
    <col min="8" max="8" width="38.7109375" customWidth="1"/>
  </cols>
  <sheetData>
    <row r="1" spans="1:8" ht="31" customHeight="1">
      <c r="A1" s="1" t="s">
        <v>39</v>
      </c>
      <c r="B1" s="1"/>
      <c r="C1" s="1"/>
      <c r="D1" s="1"/>
      <c r="E1" s="1"/>
      <c r="F1" s="1"/>
      <c r="G1" s="1"/>
      <c r="H1" s="1"/>
    </row>
    <row r="2" spans="1:8" ht="48" customHeight="1">
      <c r="A2" s="2" t="s">
        <v>40</v>
      </c>
      <c r="B2" s="2"/>
      <c r="C2" s="2"/>
      <c r="D2" s="2"/>
      <c r="E2" s="2"/>
      <c r="F2" s="2"/>
      <c r="G2" s="2"/>
      <c r="H2" s="2"/>
    </row>
    <row r="3" spans="1:8" ht="31" customHeight="1">
      <c r="A3" s="6" t="s">
        <v>41</v>
      </c>
      <c r="B3" s="6"/>
      <c r="C3" s="6"/>
      <c r="D3" s="6"/>
      <c r="E3" s="6"/>
      <c r="F3" s="6"/>
      <c r="G3" s="6"/>
      <c r="H3" s="6"/>
    </row>
    <row r="4" spans="1:8" ht="30" customHeight="1">
      <c r="A4" s="8" t="s">
        <v>42</v>
      </c>
      <c r="B4" s="8" t="s">
        <v>14</v>
      </c>
      <c r="C4" s="8" t="s">
        <v>43</v>
      </c>
      <c r="D4" s="8" t="s">
        <v>44</v>
      </c>
      <c r="E4" s="8" t="s">
        <v>45</v>
      </c>
      <c r="F4" s="8" t="s">
        <v>46</v>
      </c>
      <c r="G4" s="8" t="s">
        <v>47</v>
      </c>
      <c r="H4" s="8" t="s">
        <v>48</v>
      </c>
    </row>
    <row r="5" spans="1:8" ht="48" customHeight="1">
      <c r="A5" s="17" t="s">
        <v>49</v>
      </c>
      <c r="B5" s="18" t="s">
        <v>17</v>
      </c>
      <c r="C5" s="19" t="s">
        <v>50</v>
      </c>
      <c r="D5" s="19" t="s">
        <v>51</v>
      </c>
      <c r="E5" s="19" t="s">
        <v>52</v>
      </c>
      <c r="F5" s="17" t="s">
        <v>53</v>
      </c>
      <c r="G5" s="17" t="s">
        <v>54</v>
      </c>
      <c r="H5" s="20" t="s">
        <v>55</v>
      </c>
    </row>
    <row r="6" spans="1:8" ht="48" customHeight="1">
      <c r="A6" s="9" t="s">
        <v>56</v>
      </c>
      <c r="B6" s="21" t="s">
        <v>17</v>
      </c>
      <c r="C6" s="16" t="s">
        <v>57</v>
      </c>
      <c r="D6" s="16" t="s">
        <v>58</v>
      </c>
      <c r="E6" s="16" t="s">
        <v>59</v>
      </c>
      <c r="F6" s="9" t="s">
        <v>53</v>
      </c>
      <c r="G6" s="9" t="s">
        <v>54</v>
      </c>
      <c r="H6" s="22" t="s">
        <v>55</v>
      </c>
    </row>
    <row r="7" spans="1:8" ht="48" customHeight="1">
      <c r="A7" s="9" t="s">
        <v>60</v>
      </c>
      <c r="B7" s="21" t="s">
        <v>17</v>
      </c>
      <c r="C7" s="16" t="s">
        <v>61</v>
      </c>
      <c r="D7" s="16" t="s">
        <v>62</v>
      </c>
      <c r="E7" s="16" t="s">
        <v>63</v>
      </c>
      <c r="F7" s="9" t="s">
        <v>53</v>
      </c>
      <c r="G7" s="9" t="s">
        <v>54</v>
      </c>
      <c r="H7" s="22" t="s">
        <v>64</v>
      </c>
    </row>
    <row r="8" spans="1:8" ht="48" customHeight="1">
      <c r="A8" s="9" t="s">
        <v>65</v>
      </c>
      <c r="B8" s="21" t="s">
        <v>17</v>
      </c>
      <c r="C8" s="16" t="s">
        <v>66</v>
      </c>
      <c r="D8" s="16" t="s">
        <v>67</v>
      </c>
      <c r="E8" s="16" t="s">
        <v>68</v>
      </c>
      <c r="F8" s="9" t="s">
        <v>69</v>
      </c>
      <c r="G8" s="9" t="s">
        <v>70</v>
      </c>
      <c r="H8" s="22" t="s">
        <v>55</v>
      </c>
    </row>
    <row r="9" spans="1:8" ht="48" customHeight="1">
      <c r="A9" s="9" t="s">
        <v>71</v>
      </c>
      <c r="B9" s="21" t="s">
        <v>17</v>
      </c>
      <c r="C9" s="16" t="s">
        <v>72</v>
      </c>
      <c r="D9" s="16" t="s">
        <v>73</v>
      </c>
      <c r="E9" s="16" t="s">
        <v>74</v>
      </c>
      <c r="F9" s="9" t="s">
        <v>75</v>
      </c>
      <c r="G9" s="9" t="s">
        <v>70</v>
      </c>
      <c r="H9" s="22" t="s">
        <v>64</v>
      </c>
    </row>
    <row r="10" spans="1:8" ht="48" customHeight="1">
      <c r="A10" s="9" t="s">
        <v>76</v>
      </c>
      <c r="B10" s="21" t="s">
        <v>17</v>
      </c>
      <c r="C10" s="16" t="s">
        <v>77</v>
      </c>
      <c r="D10" s="16" t="s">
        <v>78</v>
      </c>
      <c r="E10" s="16" t="s">
        <v>79</v>
      </c>
      <c r="F10" s="9" t="s">
        <v>80</v>
      </c>
      <c r="G10" s="9" t="s">
        <v>70</v>
      </c>
      <c r="H10" s="22" t="s">
        <v>55</v>
      </c>
    </row>
    <row r="11" spans="1:8" ht="48" customHeight="1">
      <c r="A11" s="9" t="s">
        <v>81</v>
      </c>
      <c r="B11" s="21" t="s">
        <v>17</v>
      </c>
      <c r="C11" s="16" t="s">
        <v>82</v>
      </c>
      <c r="D11" s="16" t="s">
        <v>83</v>
      </c>
      <c r="E11" s="16" t="s">
        <v>84</v>
      </c>
      <c r="F11" s="9" t="s">
        <v>53</v>
      </c>
      <c r="G11" s="9" t="s">
        <v>70</v>
      </c>
      <c r="H11" s="22" t="s">
        <v>85</v>
      </c>
    </row>
    <row r="12" spans="1:8" ht="48" customHeight="1">
      <c r="A12" s="17" t="s">
        <v>86</v>
      </c>
      <c r="B12" s="23" t="s">
        <v>20</v>
      </c>
      <c r="C12" s="19" t="s">
        <v>87</v>
      </c>
      <c r="D12" s="19" t="s">
        <v>88</v>
      </c>
      <c r="E12" s="19" t="s">
        <v>89</v>
      </c>
      <c r="F12" s="17" t="s">
        <v>53</v>
      </c>
      <c r="G12" s="17" t="s">
        <v>54</v>
      </c>
      <c r="H12" s="20" t="s">
        <v>64</v>
      </c>
    </row>
    <row r="13" spans="1:8" ht="48" customHeight="1">
      <c r="A13" s="9" t="s">
        <v>90</v>
      </c>
      <c r="B13" s="24" t="s">
        <v>20</v>
      </c>
      <c r="C13" s="16" t="s">
        <v>91</v>
      </c>
      <c r="D13" s="16" t="s">
        <v>92</v>
      </c>
      <c r="E13" s="16" t="s">
        <v>93</v>
      </c>
      <c r="F13" s="9" t="s">
        <v>94</v>
      </c>
      <c r="G13" s="9" t="s">
        <v>54</v>
      </c>
      <c r="H13" s="22" t="s">
        <v>64</v>
      </c>
    </row>
    <row r="14" spans="1:8" ht="48" customHeight="1">
      <c r="A14" s="17" t="s">
        <v>95</v>
      </c>
      <c r="B14" s="25" t="s">
        <v>22</v>
      </c>
      <c r="C14" s="19" t="s">
        <v>96</v>
      </c>
      <c r="D14" s="19" t="s">
        <v>97</v>
      </c>
      <c r="E14" s="19" t="s">
        <v>98</v>
      </c>
      <c r="F14" s="17" t="s">
        <v>99</v>
      </c>
      <c r="G14" s="17" t="s">
        <v>54</v>
      </c>
      <c r="H14" s="20" t="s">
        <v>55</v>
      </c>
    </row>
    <row r="15" spans="1:8" ht="48" customHeight="1">
      <c r="A15" s="9" t="s">
        <v>100</v>
      </c>
      <c r="B15" s="26" t="s">
        <v>22</v>
      </c>
      <c r="C15" s="16" t="s">
        <v>101</v>
      </c>
      <c r="D15" s="16" t="s">
        <v>102</v>
      </c>
      <c r="E15" s="16" t="s">
        <v>103</v>
      </c>
      <c r="F15" s="9" t="s">
        <v>99</v>
      </c>
      <c r="G15" s="9" t="s">
        <v>54</v>
      </c>
      <c r="H15" s="22" t="s">
        <v>55</v>
      </c>
    </row>
    <row r="16" spans="1:8" ht="48" customHeight="1">
      <c r="A16" s="9" t="s">
        <v>104</v>
      </c>
      <c r="B16" s="26" t="s">
        <v>22</v>
      </c>
      <c r="C16" s="16" t="s">
        <v>105</v>
      </c>
      <c r="D16" s="16" t="s">
        <v>106</v>
      </c>
      <c r="E16" s="16" t="s">
        <v>107</v>
      </c>
      <c r="F16" s="9" t="s">
        <v>108</v>
      </c>
      <c r="G16" s="9" t="s">
        <v>54</v>
      </c>
      <c r="H16" s="22" t="s">
        <v>55</v>
      </c>
    </row>
    <row r="17" spans="1:8" ht="48" customHeight="1">
      <c r="A17" s="9" t="s">
        <v>109</v>
      </c>
      <c r="B17" s="26" t="s">
        <v>22</v>
      </c>
      <c r="C17" s="16" t="s">
        <v>110</v>
      </c>
      <c r="D17" s="16" t="s">
        <v>111</v>
      </c>
      <c r="E17" s="16" t="s">
        <v>112</v>
      </c>
      <c r="F17" s="9" t="s">
        <v>113</v>
      </c>
      <c r="G17" s="9" t="s">
        <v>54</v>
      </c>
      <c r="H17" s="22" t="s">
        <v>55</v>
      </c>
    </row>
    <row r="18" spans="1:8" ht="48" customHeight="1">
      <c r="A18" s="9" t="s">
        <v>114</v>
      </c>
      <c r="B18" s="26" t="s">
        <v>22</v>
      </c>
      <c r="C18" s="16" t="s">
        <v>115</v>
      </c>
      <c r="D18" s="16" t="s">
        <v>116</v>
      </c>
      <c r="E18" s="16" t="s">
        <v>117</v>
      </c>
      <c r="F18" s="9" t="s">
        <v>113</v>
      </c>
      <c r="G18" s="9" t="s">
        <v>54</v>
      </c>
      <c r="H18" s="22" t="s">
        <v>55</v>
      </c>
    </row>
    <row r="19" spans="1:8" ht="48" customHeight="1">
      <c r="A19" s="9" t="s">
        <v>118</v>
      </c>
      <c r="B19" s="26" t="s">
        <v>22</v>
      </c>
      <c r="C19" s="16" t="s">
        <v>119</v>
      </c>
      <c r="D19" s="16" t="s">
        <v>120</v>
      </c>
      <c r="E19" s="16" t="s">
        <v>121</v>
      </c>
      <c r="F19" s="9" t="s">
        <v>122</v>
      </c>
      <c r="G19" s="9" t="s">
        <v>54</v>
      </c>
      <c r="H19" s="22" t="s">
        <v>55</v>
      </c>
    </row>
    <row r="20" spans="1:8" ht="48" customHeight="1">
      <c r="A20" s="9" t="s">
        <v>123</v>
      </c>
      <c r="B20" s="26" t="s">
        <v>22</v>
      </c>
      <c r="C20" s="16" t="s">
        <v>124</v>
      </c>
      <c r="D20" s="16" t="s">
        <v>125</v>
      </c>
      <c r="E20" s="16" t="s">
        <v>126</v>
      </c>
      <c r="F20" s="9" t="s">
        <v>108</v>
      </c>
      <c r="G20" s="9" t="s">
        <v>70</v>
      </c>
      <c r="H20" s="22" t="s">
        <v>55</v>
      </c>
    </row>
    <row r="21" spans="1:8" ht="48" customHeight="1">
      <c r="A21" s="9" t="s">
        <v>127</v>
      </c>
      <c r="B21" s="26" t="s">
        <v>22</v>
      </c>
      <c r="C21" s="16" t="s">
        <v>128</v>
      </c>
      <c r="D21" s="16" t="s">
        <v>129</v>
      </c>
      <c r="E21" s="16" t="s">
        <v>130</v>
      </c>
      <c r="F21" s="9" t="s">
        <v>131</v>
      </c>
      <c r="G21" s="9" t="s">
        <v>70</v>
      </c>
      <c r="H21" s="22" t="s">
        <v>55</v>
      </c>
    </row>
    <row r="22" spans="1:8" ht="48" customHeight="1">
      <c r="A22" s="9" t="s">
        <v>132</v>
      </c>
      <c r="B22" s="26" t="s">
        <v>22</v>
      </c>
      <c r="C22" s="16" t="s">
        <v>133</v>
      </c>
      <c r="D22" s="16" t="s">
        <v>134</v>
      </c>
      <c r="E22" s="16" t="s">
        <v>135</v>
      </c>
      <c r="F22" s="9" t="s">
        <v>136</v>
      </c>
      <c r="G22" s="9" t="s">
        <v>70</v>
      </c>
      <c r="H22" s="22" t="s">
        <v>137</v>
      </c>
    </row>
    <row r="23" spans="1:8" ht="48" customHeight="1">
      <c r="A23" s="17" t="s">
        <v>138</v>
      </c>
      <c r="B23" s="27" t="s">
        <v>24</v>
      </c>
      <c r="C23" s="19" t="s">
        <v>139</v>
      </c>
      <c r="D23" s="19" t="s">
        <v>140</v>
      </c>
      <c r="E23" s="19" t="s">
        <v>141</v>
      </c>
      <c r="F23" s="17" t="s">
        <v>142</v>
      </c>
      <c r="G23" s="17" t="s">
        <v>54</v>
      </c>
      <c r="H23" s="20" t="s">
        <v>55</v>
      </c>
    </row>
    <row r="24" spans="1:8" ht="48" customHeight="1">
      <c r="A24" s="9" t="s">
        <v>143</v>
      </c>
      <c r="B24" s="28" t="s">
        <v>24</v>
      </c>
      <c r="C24" s="16" t="s">
        <v>144</v>
      </c>
      <c r="D24" s="16" t="s">
        <v>145</v>
      </c>
      <c r="E24" s="16" t="s">
        <v>146</v>
      </c>
      <c r="F24" s="9" t="s">
        <v>142</v>
      </c>
      <c r="G24" s="9" t="s">
        <v>70</v>
      </c>
      <c r="H24" s="22" t="s">
        <v>85</v>
      </c>
    </row>
    <row r="25" spans="1:8" ht="48" customHeight="1">
      <c r="A25" s="9" t="s">
        <v>147</v>
      </c>
      <c r="B25" s="28" t="s">
        <v>24</v>
      </c>
      <c r="C25" s="16" t="s">
        <v>148</v>
      </c>
      <c r="D25" s="16" t="s">
        <v>149</v>
      </c>
      <c r="E25" s="16" t="s">
        <v>150</v>
      </c>
      <c r="F25" s="9" t="s">
        <v>151</v>
      </c>
      <c r="G25" s="9" t="s">
        <v>70</v>
      </c>
      <c r="H25" s="22" t="s">
        <v>55</v>
      </c>
    </row>
    <row r="26" spans="1:8" ht="48" customHeight="1">
      <c r="A26" s="9" t="s">
        <v>152</v>
      </c>
      <c r="B26" s="28" t="s">
        <v>24</v>
      </c>
      <c r="C26" s="16" t="s">
        <v>153</v>
      </c>
      <c r="D26" s="16" t="s">
        <v>154</v>
      </c>
      <c r="E26" s="16" t="s">
        <v>155</v>
      </c>
      <c r="F26" s="9" t="s">
        <v>108</v>
      </c>
      <c r="G26" s="9" t="s">
        <v>70</v>
      </c>
      <c r="H26" s="22" t="s">
        <v>55</v>
      </c>
    </row>
    <row r="27" spans="1:8" ht="48" customHeight="1">
      <c r="A27" s="17" t="s">
        <v>156</v>
      </c>
      <c r="B27" s="29" t="s">
        <v>26</v>
      </c>
      <c r="C27" s="19" t="s">
        <v>157</v>
      </c>
      <c r="D27" s="19" t="s">
        <v>158</v>
      </c>
      <c r="E27" s="19" t="s">
        <v>159</v>
      </c>
      <c r="F27" s="17" t="s">
        <v>160</v>
      </c>
      <c r="G27" s="17" t="s">
        <v>54</v>
      </c>
      <c r="H27" s="20" t="s">
        <v>85</v>
      </c>
    </row>
    <row r="28" spans="1:8" ht="48" customHeight="1">
      <c r="A28" s="9" t="s">
        <v>161</v>
      </c>
      <c r="B28" s="30" t="s">
        <v>26</v>
      </c>
      <c r="C28" s="16" t="s">
        <v>162</v>
      </c>
      <c r="D28" s="16" t="s">
        <v>163</v>
      </c>
      <c r="E28" s="16" t="s">
        <v>164</v>
      </c>
      <c r="F28" s="9" t="s">
        <v>160</v>
      </c>
      <c r="G28" s="9" t="s">
        <v>54</v>
      </c>
      <c r="H28" s="22" t="s">
        <v>85</v>
      </c>
    </row>
    <row r="29" spans="1:8" ht="48" customHeight="1">
      <c r="A29" s="9" t="s">
        <v>165</v>
      </c>
      <c r="B29" s="30" t="s">
        <v>26</v>
      </c>
      <c r="C29" s="16" t="s">
        <v>166</v>
      </c>
      <c r="D29" s="16" t="s">
        <v>167</v>
      </c>
      <c r="E29" s="16" t="s">
        <v>168</v>
      </c>
      <c r="F29" s="9" t="s">
        <v>169</v>
      </c>
      <c r="G29" s="9" t="s">
        <v>54</v>
      </c>
      <c r="H29" s="22" t="s">
        <v>85</v>
      </c>
    </row>
    <row r="30" spans="1:8" ht="48" customHeight="1">
      <c r="A30" s="9" t="s">
        <v>170</v>
      </c>
      <c r="B30" s="30" t="s">
        <v>26</v>
      </c>
      <c r="C30" s="16" t="s">
        <v>171</v>
      </c>
      <c r="D30" s="16" t="s">
        <v>172</v>
      </c>
      <c r="E30" s="16" t="s">
        <v>173</v>
      </c>
      <c r="F30" s="9" t="s">
        <v>174</v>
      </c>
      <c r="G30" s="9" t="s">
        <v>54</v>
      </c>
      <c r="H30" s="22" t="s">
        <v>85</v>
      </c>
    </row>
    <row r="31" spans="1:8" ht="48" customHeight="1">
      <c r="A31" s="9" t="s">
        <v>175</v>
      </c>
      <c r="B31" s="30" t="s">
        <v>26</v>
      </c>
      <c r="C31" s="16" t="s">
        <v>176</v>
      </c>
      <c r="D31" s="16" t="s">
        <v>177</v>
      </c>
      <c r="E31" s="16" t="s">
        <v>178</v>
      </c>
      <c r="F31" s="9" t="s">
        <v>174</v>
      </c>
      <c r="G31" s="9" t="s">
        <v>54</v>
      </c>
      <c r="H31" s="22" t="s">
        <v>85</v>
      </c>
    </row>
    <row r="32" spans="1:8" ht="48" customHeight="1">
      <c r="A32" s="9" t="s">
        <v>179</v>
      </c>
      <c r="B32" s="30" t="s">
        <v>26</v>
      </c>
      <c r="C32" s="16" t="s">
        <v>180</v>
      </c>
      <c r="D32" s="16" t="s">
        <v>181</v>
      </c>
      <c r="E32" s="16" t="s">
        <v>182</v>
      </c>
      <c r="F32" s="9" t="s">
        <v>174</v>
      </c>
      <c r="G32" s="9" t="s">
        <v>70</v>
      </c>
      <c r="H32" s="22" t="s">
        <v>85</v>
      </c>
    </row>
    <row r="33" spans="1:8" ht="48" customHeight="1">
      <c r="A33" s="9" t="s">
        <v>183</v>
      </c>
      <c r="B33" s="30" t="s">
        <v>26</v>
      </c>
      <c r="C33" s="16" t="s">
        <v>184</v>
      </c>
      <c r="D33" s="16" t="s">
        <v>185</v>
      </c>
      <c r="E33" s="16" t="s">
        <v>186</v>
      </c>
      <c r="F33" s="9" t="s">
        <v>187</v>
      </c>
      <c r="G33" s="9" t="s">
        <v>70</v>
      </c>
      <c r="H33" s="22" t="s">
        <v>85</v>
      </c>
    </row>
    <row r="34" spans="1:8" ht="48" customHeight="1">
      <c r="A34" s="9" t="s">
        <v>188</v>
      </c>
      <c r="B34" s="30" t="s">
        <v>26</v>
      </c>
      <c r="C34" s="16" t="s">
        <v>189</v>
      </c>
      <c r="D34" s="16" t="s">
        <v>190</v>
      </c>
      <c r="E34" s="16" t="s">
        <v>191</v>
      </c>
      <c r="F34" s="9" t="s">
        <v>174</v>
      </c>
      <c r="G34" s="9" t="s">
        <v>70</v>
      </c>
      <c r="H34" s="22" t="s">
        <v>137</v>
      </c>
    </row>
    <row r="35" spans="1:8" ht="48" customHeight="1">
      <c r="A35" s="17" t="s">
        <v>192</v>
      </c>
      <c r="B35" s="31" t="s">
        <v>27</v>
      </c>
      <c r="C35" s="19" t="s">
        <v>193</v>
      </c>
      <c r="D35" s="19" t="s">
        <v>194</v>
      </c>
      <c r="E35" s="19" t="s">
        <v>195</v>
      </c>
      <c r="F35" s="17" t="s">
        <v>196</v>
      </c>
      <c r="G35" s="17" t="s">
        <v>70</v>
      </c>
      <c r="H35" s="20" t="s">
        <v>64</v>
      </c>
    </row>
    <row r="36" spans="1:8" ht="48" customHeight="1">
      <c r="A36" s="9" t="s">
        <v>197</v>
      </c>
      <c r="B36" s="32" t="s">
        <v>27</v>
      </c>
      <c r="C36" s="16" t="s">
        <v>198</v>
      </c>
      <c r="D36" s="16" t="s">
        <v>199</v>
      </c>
      <c r="E36" s="16" t="s">
        <v>200</v>
      </c>
      <c r="F36" s="9" t="s">
        <v>201</v>
      </c>
      <c r="G36" s="9" t="s">
        <v>70</v>
      </c>
      <c r="H36" s="22" t="s">
        <v>64</v>
      </c>
    </row>
    <row r="37" spans="1:8" ht="48" customHeight="1">
      <c r="A37" s="9" t="s">
        <v>202</v>
      </c>
      <c r="B37" s="32" t="s">
        <v>27</v>
      </c>
      <c r="C37" s="16" t="s">
        <v>203</v>
      </c>
      <c r="D37" s="16" t="s">
        <v>204</v>
      </c>
      <c r="E37" s="16" t="s">
        <v>205</v>
      </c>
      <c r="F37" s="9" t="s">
        <v>206</v>
      </c>
      <c r="G37" s="9" t="s">
        <v>70</v>
      </c>
      <c r="H37" s="22" t="s">
        <v>64</v>
      </c>
    </row>
    <row r="38" spans="1:8" ht="48" customHeight="1">
      <c r="A38" s="9" t="s">
        <v>207</v>
      </c>
      <c r="B38" s="32" t="s">
        <v>27</v>
      </c>
      <c r="C38" s="16" t="s">
        <v>208</v>
      </c>
      <c r="D38" s="16" t="s">
        <v>209</v>
      </c>
      <c r="E38" s="16" t="s">
        <v>210</v>
      </c>
      <c r="F38" s="9" t="s">
        <v>211</v>
      </c>
      <c r="G38" s="9" t="s">
        <v>54</v>
      </c>
      <c r="H38" s="22" t="s">
        <v>64</v>
      </c>
    </row>
    <row r="39" spans="1:8" ht="48" customHeight="1">
      <c r="A39" s="9" t="s">
        <v>212</v>
      </c>
      <c r="B39" s="32" t="s">
        <v>27</v>
      </c>
      <c r="C39" s="16" t="s">
        <v>213</v>
      </c>
      <c r="D39" s="16" t="s">
        <v>214</v>
      </c>
      <c r="E39" s="16" t="s">
        <v>215</v>
      </c>
      <c r="F39" s="9" t="s">
        <v>216</v>
      </c>
      <c r="G39" s="9" t="s">
        <v>54</v>
      </c>
      <c r="H39" s="22" t="s">
        <v>137</v>
      </c>
    </row>
    <row r="40" spans="1:8" ht="48" customHeight="1">
      <c r="A40" s="9" t="s">
        <v>217</v>
      </c>
      <c r="B40" s="32" t="s">
        <v>27</v>
      </c>
      <c r="C40" s="16" t="s">
        <v>218</v>
      </c>
      <c r="D40" s="16" t="s">
        <v>219</v>
      </c>
      <c r="E40" s="16" t="s">
        <v>220</v>
      </c>
      <c r="F40" s="9" t="s">
        <v>221</v>
      </c>
      <c r="G40" s="9" t="s">
        <v>70</v>
      </c>
      <c r="H40" s="22" t="s">
        <v>85</v>
      </c>
    </row>
    <row r="41" spans="1:8" ht="48" customHeight="1">
      <c r="A41" s="17" t="s">
        <v>222</v>
      </c>
      <c r="B41" s="23" t="s">
        <v>28</v>
      </c>
      <c r="C41" s="19" t="s">
        <v>223</v>
      </c>
      <c r="D41" s="19" t="s">
        <v>224</v>
      </c>
      <c r="E41" s="19" t="s">
        <v>225</v>
      </c>
      <c r="F41" s="17" t="s">
        <v>226</v>
      </c>
      <c r="G41" s="17" t="s">
        <v>227</v>
      </c>
      <c r="H41" s="20" t="s">
        <v>55</v>
      </c>
    </row>
    <row r="42" spans="1:8" ht="48" customHeight="1">
      <c r="A42" s="9" t="s">
        <v>228</v>
      </c>
      <c r="B42" s="24" t="s">
        <v>28</v>
      </c>
      <c r="C42" s="16" t="s">
        <v>229</v>
      </c>
      <c r="D42" s="16" t="s">
        <v>230</v>
      </c>
      <c r="E42" s="16" t="s">
        <v>231</v>
      </c>
      <c r="F42" s="9" t="s">
        <v>226</v>
      </c>
      <c r="G42" s="9" t="s">
        <v>227</v>
      </c>
      <c r="H42" s="22" t="s">
        <v>55</v>
      </c>
    </row>
    <row r="43" spans="1:8" ht="48" customHeight="1">
      <c r="A43" s="17" t="s">
        <v>232</v>
      </c>
      <c r="B43" s="27" t="s">
        <v>29</v>
      </c>
      <c r="C43" s="19" t="s">
        <v>233</v>
      </c>
      <c r="D43" s="19" t="s">
        <v>234</v>
      </c>
      <c r="E43" s="19" t="s">
        <v>235</v>
      </c>
      <c r="F43" s="17" t="s">
        <v>236</v>
      </c>
      <c r="G43" s="17" t="s">
        <v>54</v>
      </c>
      <c r="H43" s="20" t="s">
        <v>85</v>
      </c>
    </row>
    <row r="44" spans="1:8" ht="48" customHeight="1">
      <c r="A44" s="9" t="s">
        <v>237</v>
      </c>
      <c r="B44" s="28" t="s">
        <v>29</v>
      </c>
      <c r="C44" s="16" t="s">
        <v>238</v>
      </c>
      <c r="D44" s="16" t="s">
        <v>239</v>
      </c>
      <c r="E44" s="16" t="s">
        <v>240</v>
      </c>
      <c r="F44" s="9" t="s">
        <v>53</v>
      </c>
      <c r="G44" s="9" t="s">
        <v>54</v>
      </c>
      <c r="H44" s="22" t="s">
        <v>85</v>
      </c>
    </row>
    <row r="45" spans="1:8" ht="48" customHeight="1">
      <c r="A45" s="9" t="s">
        <v>241</v>
      </c>
      <c r="B45" s="28" t="s">
        <v>29</v>
      </c>
      <c r="C45" s="16" t="s">
        <v>242</v>
      </c>
      <c r="D45" s="16" t="s">
        <v>243</v>
      </c>
      <c r="E45" s="16" t="s">
        <v>244</v>
      </c>
      <c r="F45" s="9" t="s">
        <v>245</v>
      </c>
      <c r="G45" s="9" t="s">
        <v>70</v>
      </c>
      <c r="H45" s="22" t="s">
        <v>64</v>
      </c>
    </row>
    <row r="46" spans="1:8" ht="48" customHeight="1">
      <c r="A46" s="9" t="s">
        <v>246</v>
      </c>
      <c r="B46" s="28" t="s">
        <v>29</v>
      </c>
      <c r="C46" s="16" t="s">
        <v>247</v>
      </c>
      <c r="D46" s="16" t="s">
        <v>248</v>
      </c>
      <c r="E46" s="16" t="s">
        <v>249</v>
      </c>
      <c r="F46" s="9" t="s">
        <v>250</v>
      </c>
      <c r="G46" s="9" t="s">
        <v>70</v>
      </c>
      <c r="H46" s="22" t="s">
        <v>55</v>
      </c>
    </row>
    <row r="47" spans="1:8" ht="48" customHeight="1">
      <c r="A47" s="9" t="s">
        <v>251</v>
      </c>
      <c r="B47" s="28" t="s">
        <v>29</v>
      </c>
      <c r="C47" s="16" t="s">
        <v>252</v>
      </c>
      <c r="D47" s="16" t="s">
        <v>253</v>
      </c>
      <c r="E47" s="16" t="s">
        <v>254</v>
      </c>
      <c r="F47" s="9" t="s">
        <v>255</v>
      </c>
      <c r="G47" s="9" t="s">
        <v>70</v>
      </c>
      <c r="H47" s="22" t="s">
        <v>137</v>
      </c>
    </row>
  </sheetData>
  <autoFilter ref="A4:H47"/>
  <mergeCells count="3">
    <mergeCell ref="A1:H1"/>
    <mergeCell ref="A2:H2"/>
    <mergeCell ref="A3:H3"/>
  </mergeCells>
  <hyperlinks>
    <hyperlink ref="H5" r:id="rId1"/>
    <hyperlink ref="H6" r:id="rId2"/>
    <hyperlink ref="H7" r:id="rId3"/>
    <hyperlink ref="H8" r:id="rId4"/>
    <hyperlink ref="H9" r:id="rId5"/>
    <hyperlink ref="H10" r:id="rId6"/>
    <hyperlink ref="H11" r:id="rId7"/>
    <hyperlink ref="H12" r:id="rId8"/>
    <hyperlink ref="H13" r:id="rId9"/>
    <hyperlink ref="H14" r:id="rId10"/>
    <hyperlink ref="H15" r:id="rId11"/>
    <hyperlink ref="H16" r:id="rId12"/>
    <hyperlink ref="H17" r:id="rId13"/>
    <hyperlink ref="H18" r:id="rId14"/>
    <hyperlink ref="H19" r:id="rId15"/>
    <hyperlink ref="H20" r:id="rId16"/>
    <hyperlink ref="H21" r:id="rId17"/>
    <hyperlink ref="H22" r:id="rId18"/>
    <hyperlink ref="H23" r:id="rId19"/>
    <hyperlink ref="H24" r:id="rId20"/>
    <hyperlink ref="H25" r:id="rId21"/>
    <hyperlink ref="H26" r:id="rId22"/>
    <hyperlink ref="H27" r:id="rId23"/>
    <hyperlink ref="H28" r:id="rId24"/>
    <hyperlink ref="H29" r:id="rId25"/>
    <hyperlink ref="H30" r:id="rId26"/>
    <hyperlink ref="H31" r:id="rId27"/>
    <hyperlink ref="H32" r:id="rId28"/>
    <hyperlink ref="H33" r:id="rId29"/>
    <hyperlink ref="H34" r:id="rId30"/>
    <hyperlink ref="H35" r:id="rId31"/>
    <hyperlink ref="H36" r:id="rId32"/>
    <hyperlink ref="H37" r:id="rId33"/>
    <hyperlink ref="H38" r:id="rId34"/>
    <hyperlink ref="H39" r:id="rId35"/>
    <hyperlink ref="H40" r:id="rId36"/>
    <hyperlink ref="H41" r:id="rId37"/>
    <hyperlink ref="H42" r:id="rId38"/>
    <hyperlink ref="H43" r:id="rId39"/>
    <hyperlink ref="H44" r:id="rId40"/>
    <hyperlink ref="H45" r:id="rId41"/>
    <hyperlink ref="H46" r:id="rId42"/>
    <hyperlink ref="H47" r:id="rId43"/>
  </hyperlinks>
  <pageMargins left="0.25" right="0.25" top="0.35" bottom="0.35" header="0.3" footer="0.3"/>
  <pageSetup paperSize="8" fitToHeight="0" orientation="landscape"/>
  <headerFooter>
    <oddHeader>&amp;C&amp;"Apple SD Gothic Neo,Bold"MIPI DSI v1.3.1 CTS 요약</oddHeader>
    <oddFooter>&amp;L공개 범위 기반 체크리스트&amp;RPage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548235"/>
    <pageSetUpPr fitToPage="1"/>
  </sheetPr>
  <dimension ref="A1:H55"/>
  <sheetViews>
    <sheetView showGridLines="0" workbookViewId="0">
      <pane ySplit="4" topLeftCell="A5" activePane="bottomLeft" state="frozen"/>
      <selection pane="bottomLeft"/>
    </sheetView>
  </sheetViews>
  <sheetFormatPr defaultRowHeight="18" customHeight="1"/>
  <cols>
    <col min="1" max="1" width="15.7109375" customWidth="1"/>
    <col min="2" max="2" width="20.7109375" customWidth="1"/>
    <col min="3" max="3" width="27.7109375" customWidth="1"/>
    <col min="4" max="4" width="46.7109375" customWidth="1"/>
    <col min="5" max="5" width="50.7109375" customWidth="1"/>
    <col min="6" max="6" width="22.7109375" customWidth="1"/>
    <col min="7" max="7" width="10.7109375" customWidth="1"/>
    <col min="8" max="8" width="38.7109375" customWidth="1"/>
  </cols>
  <sheetData>
    <row r="1" spans="1:8" ht="31" customHeight="1">
      <c r="A1" s="1" t="s">
        <v>256</v>
      </c>
      <c r="B1" s="1"/>
      <c r="C1" s="1"/>
      <c r="D1" s="1"/>
      <c r="E1" s="1"/>
      <c r="F1" s="1"/>
      <c r="G1" s="1"/>
      <c r="H1" s="1"/>
    </row>
    <row r="2" spans="1:8" ht="48" customHeight="1">
      <c r="A2" s="2" t="s">
        <v>257</v>
      </c>
      <c r="B2" s="2"/>
      <c r="C2" s="2"/>
      <c r="D2" s="2"/>
      <c r="E2" s="2"/>
      <c r="F2" s="2"/>
      <c r="G2" s="2"/>
      <c r="H2" s="2"/>
    </row>
    <row r="3" spans="1:8" ht="31" customHeight="1">
      <c r="A3" s="6" t="s">
        <v>41</v>
      </c>
      <c r="B3" s="6"/>
      <c r="C3" s="6"/>
      <c r="D3" s="6"/>
      <c r="E3" s="6"/>
      <c r="F3" s="6"/>
      <c r="G3" s="6"/>
      <c r="H3" s="6"/>
    </row>
    <row r="4" spans="1:8" ht="30" customHeight="1">
      <c r="A4" s="8" t="s">
        <v>42</v>
      </c>
      <c r="B4" s="8" t="s">
        <v>14</v>
      </c>
      <c r="C4" s="8" t="s">
        <v>43</v>
      </c>
      <c r="D4" s="8" t="s">
        <v>44</v>
      </c>
      <c r="E4" s="8" t="s">
        <v>45</v>
      </c>
      <c r="F4" s="8" t="s">
        <v>46</v>
      </c>
      <c r="G4" s="8" t="s">
        <v>47</v>
      </c>
      <c r="H4" s="8" t="s">
        <v>48</v>
      </c>
    </row>
    <row r="5" spans="1:8" ht="48" customHeight="1">
      <c r="A5" s="17" t="s">
        <v>258</v>
      </c>
      <c r="B5" s="18" t="s">
        <v>19</v>
      </c>
      <c r="C5" s="19" t="s">
        <v>259</v>
      </c>
      <c r="D5" s="19" t="s">
        <v>260</v>
      </c>
      <c r="E5" s="19" t="s">
        <v>261</v>
      </c>
      <c r="F5" s="17" t="s">
        <v>53</v>
      </c>
      <c r="G5" s="17" t="s">
        <v>54</v>
      </c>
      <c r="H5" s="20" t="s">
        <v>55</v>
      </c>
    </row>
    <row r="6" spans="1:8" ht="48" customHeight="1">
      <c r="A6" s="9" t="s">
        <v>262</v>
      </c>
      <c r="B6" s="21" t="s">
        <v>19</v>
      </c>
      <c r="C6" s="16" t="s">
        <v>263</v>
      </c>
      <c r="D6" s="16" t="s">
        <v>264</v>
      </c>
      <c r="E6" s="16" t="s">
        <v>265</v>
      </c>
      <c r="F6" s="9" t="s">
        <v>53</v>
      </c>
      <c r="G6" s="9" t="s">
        <v>54</v>
      </c>
      <c r="H6" s="22" t="s">
        <v>55</v>
      </c>
    </row>
    <row r="7" spans="1:8" ht="48" customHeight="1">
      <c r="A7" s="9" t="s">
        <v>266</v>
      </c>
      <c r="B7" s="21" t="s">
        <v>19</v>
      </c>
      <c r="C7" s="16" t="s">
        <v>267</v>
      </c>
      <c r="D7" s="16" t="s">
        <v>268</v>
      </c>
      <c r="E7" s="16" t="s">
        <v>269</v>
      </c>
      <c r="F7" s="9" t="s">
        <v>53</v>
      </c>
      <c r="G7" s="9" t="s">
        <v>54</v>
      </c>
      <c r="H7" s="22" t="s">
        <v>64</v>
      </c>
    </row>
    <row r="8" spans="1:8" ht="48" customHeight="1">
      <c r="A8" s="9" t="s">
        <v>270</v>
      </c>
      <c r="B8" s="21" t="s">
        <v>19</v>
      </c>
      <c r="C8" s="16" t="s">
        <v>271</v>
      </c>
      <c r="D8" s="16" t="s">
        <v>272</v>
      </c>
      <c r="E8" s="16" t="s">
        <v>273</v>
      </c>
      <c r="F8" s="9" t="s">
        <v>69</v>
      </c>
      <c r="G8" s="9" t="s">
        <v>70</v>
      </c>
      <c r="H8" s="22" t="s">
        <v>55</v>
      </c>
    </row>
    <row r="9" spans="1:8" ht="48" customHeight="1">
      <c r="A9" s="9" t="s">
        <v>274</v>
      </c>
      <c r="B9" s="21" t="s">
        <v>19</v>
      </c>
      <c r="C9" s="16" t="s">
        <v>72</v>
      </c>
      <c r="D9" s="16" t="s">
        <v>275</v>
      </c>
      <c r="E9" s="16" t="s">
        <v>276</v>
      </c>
      <c r="F9" s="9" t="s">
        <v>75</v>
      </c>
      <c r="G9" s="9" t="s">
        <v>70</v>
      </c>
      <c r="H9" s="22" t="s">
        <v>64</v>
      </c>
    </row>
    <row r="10" spans="1:8" ht="48" customHeight="1">
      <c r="A10" s="9" t="s">
        <v>277</v>
      </c>
      <c r="B10" s="21" t="s">
        <v>19</v>
      </c>
      <c r="C10" s="16" t="s">
        <v>278</v>
      </c>
      <c r="D10" s="16" t="s">
        <v>279</v>
      </c>
      <c r="E10" s="16" t="s">
        <v>280</v>
      </c>
      <c r="F10" s="9" t="s">
        <v>80</v>
      </c>
      <c r="G10" s="9" t="s">
        <v>70</v>
      </c>
      <c r="H10" s="22" t="s">
        <v>55</v>
      </c>
    </row>
    <row r="11" spans="1:8" ht="48" customHeight="1">
      <c r="A11" s="9" t="s">
        <v>281</v>
      </c>
      <c r="B11" s="21" t="s">
        <v>19</v>
      </c>
      <c r="C11" s="16" t="s">
        <v>282</v>
      </c>
      <c r="D11" s="16" t="s">
        <v>283</v>
      </c>
      <c r="E11" s="16" t="s">
        <v>284</v>
      </c>
      <c r="F11" s="9" t="s">
        <v>53</v>
      </c>
      <c r="G11" s="9" t="s">
        <v>70</v>
      </c>
      <c r="H11" s="22" t="s">
        <v>85</v>
      </c>
    </row>
    <row r="12" spans="1:8" ht="48" customHeight="1">
      <c r="A12" s="17" t="s">
        <v>285</v>
      </c>
      <c r="B12" s="23" t="s">
        <v>21</v>
      </c>
      <c r="C12" s="19" t="s">
        <v>286</v>
      </c>
      <c r="D12" s="19" t="s">
        <v>287</v>
      </c>
      <c r="E12" s="19" t="s">
        <v>288</v>
      </c>
      <c r="F12" s="17" t="s">
        <v>53</v>
      </c>
      <c r="G12" s="17" t="s">
        <v>54</v>
      </c>
      <c r="H12" s="20" t="s">
        <v>64</v>
      </c>
    </row>
    <row r="13" spans="1:8" ht="48" customHeight="1">
      <c r="A13" s="9" t="s">
        <v>289</v>
      </c>
      <c r="B13" s="24" t="s">
        <v>21</v>
      </c>
      <c r="C13" s="16" t="s">
        <v>290</v>
      </c>
      <c r="D13" s="16" t="s">
        <v>291</v>
      </c>
      <c r="E13" s="16" t="s">
        <v>292</v>
      </c>
      <c r="F13" s="9" t="s">
        <v>53</v>
      </c>
      <c r="G13" s="9" t="s">
        <v>54</v>
      </c>
      <c r="H13" s="22" t="s">
        <v>64</v>
      </c>
    </row>
    <row r="14" spans="1:8" ht="48" customHeight="1">
      <c r="A14" s="9" t="s">
        <v>293</v>
      </c>
      <c r="B14" s="24" t="s">
        <v>21</v>
      </c>
      <c r="C14" s="16" t="s">
        <v>294</v>
      </c>
      <c r="D14" s="16" t="s">
        <v>295</v>
      </c>
      <c r="E14" s="16" t="s">
        <v>296</v>
      </c>
      <c r="F14" s="9" t="s">
        <v>94</v>
      </c>
      <c r="G14" s="9" t="s">
        <v>54</v>
      </c>
      <c r="H14" s="22" t="s">
        <v>64</v>
      </c>
    </row>
    <row r="15" spans="1:8" ht="48" customHeight="1">
      <c r="A15" s="9" t="s">
        <v>297</v>
      </c>
      <c r="B15" s="24" t="s">
        <v>21</v>
      </c>
      <c r="C15" s="16" t="s">
        <v>298</v>
      </c>
      <c r="D15" s="16" t="s">
        <v>299</v>
      </c>
      <c r="E15" s="16" t="s">
        <v>300</v>
      </c>
      <c r="F15" s="9" t="s">
        <v>53</v>
      </c>
      <c r="G15" s="9" t="s">
        <v>54</v>
      </c>
      <c r="H15" s="22" t="s">
        <v>85</v>
      </c>
    </row>
    <row r="16" spans="1:8" ht="48" customHeight="1">
      <c r="A16" s="9" t="s">
        <v>301</v>
      </c>
      <c r="B16" s="24" t="s">
        <v>21</v>
      </c>
      <c r="C16" s="16" t="s">
        <v>302</v>
      </c>
      <c r="D16" s="16" t="s">
        <v>303</v>
      </c>
      <c r="E16" s="16" t="s">
        <v>304</v>
      </c>
      <c r="F16" s="9" t="s">
        <v>53</v>
      </c>
      <c r="G16" s="9" t="s">
        <v>70</v>
      </c>
      <c r="H16" s="22" t="s">
        <v>85</v>
      </c>
    </row>
    <row r="17" spans="1:8" ht="48" customHeight="1">
      <c r="A17" s="9" t="s">
        <v>305</v>
      </c>
      <c r="B17" s="24" t="s">
        <v>21</v>
      </c>
      <c r="C17" s="16" t="s">
        <v>306</v>
      </c>
      <c r="D17" s="16" t="s">
        <v>307</v>
      </c>
      <c r="E17" s="16" t="s">
        <v>308</v>
      </c>
      <c r="F17" s="9" t="s">
        <v>53</v>
      </c>
      <c r="G17" s="9" t="s">
        <v>70</v>
      </c>
      <c r="H17" s="22" t="s">
        <v>137</v>
      </c>
    </row>
    <row r="18" spans="1:8" ht="48" customHeight="1">
      <c r="A18" s="9" t="s">
        <v>309</v>
      </c>
      <c r="B18" s="24" t="s">
        <v>21</v>
      </c>
      <c r="C18" s="16" t="s">
        <v>310</v>
      </c>
      <c r="D18" s="16" t="s">
        <v>311</v>
      </c>
      <c r="E18" s="16" t="s">
        <v>312</v>
      </c>
      <c r="F18" s="9" t="s">
        <v>313</v>
      </c>
      <c r="G18" s="9" t="s">
        <v>70</v>
      </c>
      <c r="H18" s="22" t="s">
        <v>55</v>
      </c>
    </row>
    <row r="19" spans="1:8" ht="48" customHeight="1">
      <c r="A19" s="9" t="s">
        <v>314</v>
      </c>
      <c r="B19" s="24" t="s">
        <v>21</v>
      </c>
      <c r="C19" s="16" t="s">
        <v>315</v>
      </c>
      <c r="D19" s="16" t="s">
        <v>316</v>
      </c>
      <c r="E19" s="16" t="s">
        <v>317</v>
      </c>
      <c r="F19" s="9" t="s">
        <v>53</v>
      </c>
      <c r="G19" s="9" t="s">
        <v>70</v>
      </c>
      <c r="H19" s="22" t="s">
        <v>137</v>
      </c>
    </row>
    <row r="20" spans="1:8" ht="48" customHeight="1">
      <c r="A20" s="17" t="s">
        <v>318</v>
      </c>
      <c r="B20" s="25" t="s">
        <v>23</v>
      </c>
      <c r="C20" s="19" t="s">
        <v>319</v>
      </c>
      <c r="D20" s="19" t="s">
        <v>320</v>
      </c>
      <c r="E20" s="19" t="s">
        <v>321</v>
      </c>
      <c r="F20" s="17" t="s">
        <v>99</v>
      </c>
      <c r="G20" s="17" t="s">
        <v>54</v>
      </c>
      <c r="H20" s="20" t="s">
        <v>55</v>
      </c>
    </row>
    <row r="21" spans="1:8" ht="48" customHeight="1">
      <c r="A21" s="9" t="s">
        <v>322</v>
      </c>
      <c r="B21" s="26" t="s">
        <v>23</v>
      </c>
      <c r="C21" s="16" t="s">
        <v>323</v>
      </c>
      <c r="D21" s="16" t="s">
        <v>324</v>
      </c>
      <c r="E21" s="16" t="s">
        <v>325</v>
      </c>
      <c r="F21" s="9" t="s">
        <v>99</v>
      </c>
      <c r="G21" s="9" t="s">
        <v>54</v>
      </c>
      <c r="H21" s="22" t="s">
        <v>55</v>
      </c>
    </row>
    <row r="22" spans="1:8" ht="48" customHeight="1">
      <c r="A22" s="9" t="s">
        <v>326</v>
      </c>
      <c r="B22" s="26" t="s">
        <v>23</v>
      </c>
      <c r="C22" s="16" t="s">
        <v>327</v>
      </c>
      <c r="D22" s="16" t="s">
        <v>328</v>
      </c>
      <c r="E22" s="16" t="s">
        <v>329</v>
      </c>
      <c r="F22" s="9" t="s">
        <v>108</v>
      </c>
      <c r="G22" s="9" t="s">
        <v>54</v>
      </c>
      <c r="H22" s="22" t="s">
        <v>55</v>
      </c>
    </row>
    <row r="23" spans="1:8" ht="48" customHeight="1">
      <c r="A23" s="9" t="s">
        <v>330</v>
      </c>
      <c r="B23" s="26" t="s">
        <v>23</v>
      </c>
      <c r="C23" s="16" t="s">
        <v>331</v>
      </c>
      <c r="D23" s="16" t="s">
        <v>332</v>
      </c>
      <c r="E23" s="16" t="s">
        <v>333</v>
      </c>
      <c r="F23" s="9" t="s">
        <v>113</v>
      </c>
      <c r="G23" s="9" t="s">
        <v>54</v>
      </c>
      <c r="H23" s="22" t="s">
        <v>55</v>
      </c>
    </row>
    <row r="24" spans="1:8" ht="48" customHeight="1">
      <c r="A24" s="9" t="s">
        <v>334</v>
      </c>
      <c r="B24" s="26" t="s">
        <v>23</v>
      </c>
      <c r="C24" s="16" t="s">
        <v>335</v>
      </c>
      <c r="D24" s="16" t="s">
        <v>336</v>
      </c>
      <c r="E24" s="16" t="s">
        <v>337</v>
      </c>
      <c r="F24" s="9" t="s">
        <v>113</v>
      </c>
      <c r="G24" s="9" t="s">
        <v>54</v>
      </c>
      <c r="H24" s="22" t="s">
        <v>55</v>
      </c>
    </row>
    <row r="25" spans="1:8" ht="48" customHeight="1">
      <c r="A25" s="9" t="s">
        <v>338</v>
      </c>
      <c r="B25" s="26" t="s">
        <v>23</v>
      </c>
      <c r="C25" s="16" t="s">
        <v>339</v>
      </c>
      <c r="D25" s="16" t="s">
        <v>340</v>
      </c>
      <c r="E25" s="16" t="s">
        <v>341</v>
      </c>
      <c r="F25" s="9" t="s">
        <v>122</v>
      </c>
      <c r="G25" s="9" t="s">
        <v>54</v>
      </c>
      <c r="H25" s="22" t="s">
        <v>55</v>
      </c>
    </row>
    <row r="26" spans="1:8" ht="48" customHeight="1">
      <c r="A26" s="9" t="s">
        <v>342</v>
      </c>
      <c r="B26" s="26" t="s">
        <v>23</v>
      </c>
      <c r="C26" s="16" t="s">
        <v>343</v>
      </c>
      <c r="D26" s="16" t="s">
        <v>344</v>
      </c>
      <c r="E26" s="16" t="s">
        <v>345</v>
      </c>
      <c r="F26" s="9" t="s">
        <v>108</v>
      </c>
      <c r="G26" s="9" t="s">
        <v>70</v>
      </c>
      <c r="H26" s="22" t="s">
        <v>55</v>
      </c>
    </row>
    <row r="27" spans="1:8" ht="48" customHeight="1">
      <c r="A27" s="9" t="s">
        <v>346</v>
      </c>
      <c r="B27" s="26" t="s">
        <v>23</v>
      </c>
      <c r="C27" s="16" t="s">
        <v>347</v>
      </c>
      <c r="D27" s="16" t="s">
        <v>348</v>
      </c>
      <c r="E27" s="16" t="s">
        <v>349</v>
      </c>
      <c r="F27" s="9" t="s">
        <v>108</v>
      </c>
      <c r="G27" s="9" t="s">
        <v>54</v>
      </c>
      <c r="H27" s="22" t="s">
        <v>55</v>
      </c>
    </row>
    <row r="28" spans="1:8" ht="48" customHeight="1">
      <c r="A28" s="9" t="s">
        <v>350</v>
      </c>
      <c r="B28" s="26" t="s">
        <v>23</v>
      </c>
      <c r="C28" s="16" t="s">
        <v>351</v>
      </c>
      <c r="D28" s="16" t="s">
        <v>352</v>
      </c>
      <c r="E28" s="16" t="s">
        <v>353</v>
      </c>
      <c r="F28" s="9" t="s">
        <v>354</v>
      </c>
      <c r="G28" s="9" t="s">
        <v>54</v>
      </c>
      <c r="H28" s="22" t="s">
        <v>55</v>
      </c>
    </row>
    <row r="29" spans="1:8" ht="48" customHeight="1">
      <c r="A29" s="9" t="s">
        <v>355</v>
      </c>
      <c r="B29" s="26" t="s">
        <v>23</v>
      </c>
      <c r="C29" s="16" t="s">
        <v>133</v>
      </c>
      <c r="D29" s="16" t="s">
        <v>356</v>
      </c>
      <c r="E29" s="16" t="s">
        <v>357</v>
      </c>
      <c r="F29" s="9" t="s">
        <v>136</v>
      </c>
      <c r="G29" s="9" t="s">
        <v>70</v>
      </c>
      <c r="H29" s="22" t="s">
        <v>137</v>
      </c>
    </row>
    <row r="30" spans="1:8" ht="48" customHeight="1">
      <c r="A30" s="9" t="s">
        <v>358</v>
      </c>
      <c r="B30" s="26" t="s">
        <v>23</v>
      </c>
      <c r="C30" s="16" t="s">
        <v>359</v>
      </c>
      <c r="D30" s="16" t="s">
        <v>360</v>
      </c>
      <c r="E30" s="16" t="s">
        <v>361</v>
      </c>
      <c r="F30" s="9" t="s">
        <v>131</v>
      </c>
      <c r="G30" s="9" t="s">
        <v>70</v>
      </c>
      <c r="H30" s="22" t="s">
        <v>55</v>
      </c>
    </row>
    <row r="31" spans="1:8" ht="48" customHeight="1">
      <c r="A31" s="9" t="s">
        <v>362</v>
      </c>
      <c r="B31" s="26" t="s">
        <v>23</v>
      </c>
      <c r="C31" s="16" t="s">
        <v>363</v>
      </c>
      <c r="D31" s="16" t="s">
        <v>364</v>
      </c>
      <c r="E31" s="16" t="s">
        <v>365</v>
      </c>
      <c r="F31" s="9" t="s">
        <v>53</v>
      </c>
      <c r="G31" s="9" t="s">
        <v>70</v>
      </c>
      <c r="H31" s="22" t="s">
        <v>85</v>
      </c>
    </row>
    <row r="32" spans="1:8" ht="48" customHeight="1">
      <c r="A32" s="17" t="s">
        <v>366</v>
      </c>
      <c r="B32" s="27" t="s">
        <v>25</v>
      </c>
      <c r="C32" s="19" t="s">
        <v>367</v>
      </c>
      <c r="D32" s="19" t="s">
        <v>368</v>
      </c>
      <c r="E32" s="19" t="s">
        <v>369</v>
      </c>
      <c r="F32" s="17" t="s">
        <v>142</v>
      </c>
      <c r="G32" s="17" t="s">
        <v>54</v>
      </c>
      <c r="H32" s="20" t="s">
        <v>55</v>
      </c>
    </row>
    <row r="33" spans="1:8" ht="48" customHeight="1">
      <c r="A33" s="9" t="s">
        <v>370</v>
      </c>
      <c r="B33" s="28" t="s">
        <v>25</v>
      </c>
      <c r="C33" s="16" t="s">
        <v>371</v>
      </c>
      <c r="D33" s="16" t="s">
        <v>372</v>
      </c>
      <c r="E33" s="16" t="s">
        <v>373</v>
      </c>
      <c r="F33" s="9" t="s">
        <v>142</v>
      </c>
      <c r="G33" s="9" t="s">
        <v>70</v>
      </c>
      <c r="H33" s="22" t="s">
        <v>85</v>
      </c>
    </row>
    <row r="34" spans="1:8" ht="48" customHeight="1">
      <c r="A34" s="9" t="s">
        <v>374</v>
      </c>
      <c r="B34" s="28" t="s">
        <v>25</v>
      </c>
      <c r="C34" s="16" t="s">
        <v>375</v>
      </c>
      <c r="D34" s="16" t="s">
        <v>376</v>
      </c>
      <c r="E34" s="16" t="s">
        <v>377</v>
      </c>
      <c r="F34" s="9" t="s">
        <v>142</v>
      </c>
      <c r="G34" s="9" t="s">
        <v>54</v>
      </c>
      <c r="H34" s="22" t="s">
        <v>55</v>
      </c>
    </row>
    <row r="35" spans="1:8" ht="48" customHeight="1">
      <c r="A35" s="9" t="s">
        <v>378</v>
      </c>
      <c r="B35" s="28" t="s">
        <v>25</v>
      </c>
      <c r="C35" s="16" t="s">
        <v>379</v>
      </c>
      <c r="D35" s="16" t="s">
        <v>380</v>
      </c>
      <c r="E35" s="16" t="s">
        <v>381</v>
      </c>
      <c r="F35" s="9" t="s">
        <v>255</v>
      </c>
      <c r="G35" s="9" t="s">
        <v>70</v>
      </c>
      <c r="H35" s="22" t="s">
        <v>137</v>
      </c>
    </row>
    <row r="36" spans="1:8" ht="48" customHeight="1">
      <c r="A36" s="17" t="s">
        <v>382</v>
      </c>
      <c r="B36" s="29" t="s">
        <v>26</v>
      </c>
      <c r="C36" s="19" t="s">
        <v>383</v>
      </c>
      <c r="D36" s="19" t="s">
        <v>384</v>
      </c>
      <c r="E36" s="19" t="s">
        <v>385</v>
      </c>
      <c r="F36" s="17" t="s">
        <v>160</v>
      </c>
      <c r="G36" s="17" t="s">
        <v>54</v>
      </c>
      <c r="H36" s="20" t="s">
        <v>85</v>
      </c>
    </row>
    <row r="37" spans="1:8" ht="48" customHeight="1">
      <c r="A37" s="9" t="s">
        <v>386</v>
      </c>
      <c r="B37" s="30" t="s">
        <v>26</v>
      </c>
      <c r="C37" s="16" t="s">
        <v>387</v>
      </c>
      <c r="D37" s="16" t="s">
        <v>388</v>
      </c>
      <c r="E37" s="16" t="s">
        <v>389</v>
      </c>
      <c r="F37" s="9" t="s">
        <v>160</v>
      </c>
      <c r="G37" s="9" t="s">
        <v>54</v>
      </c>
      <c r="H37" s="22" t="s">
        <v>85</v>
      </c>
    </row>
    <row r="38" spans="1:8" ht="48" customHeight="1">
      <c r="A38" s="9" t="s">
        <v>390</v>
      </c>
      <c r="B38" s="30" t="s">
        <v>26</v>
      </c>
      <c r="C38" s="16" t="s">
        <v>391</v>
      </c>
      <c r="D38" s="16" t="s">
        <v>392</v>
      </c>
      <c r="E38" s="16" t="s">
        <v>393</v>
      </c>
      <c r="F38" s="9" t="s">
        <v>169</v>
      </c>
      <c r="G38" s="9" t="s">
        <v>54</v>
      </c>
      <c r="H38" s="22" t="s">
        <v>85</v>
      </c>
    </row>
    <row r="39" spans="1:8" ht="48" customHeight="1">
      <c r="A39" s="9" t="s">
        <v>394</v>
      </c>
      <c r="B39" s="30" t="s">
        <v>26</v>
      </c>
      <c r="C39" s="16" t="s">
        <v>395</v>
      </c>
      <c r="D39" s="16" t="s">
        <v>396</v>
      </c>
      <c r="E39" s="16" t="s">
        <v>397</v>
      </c>
      <c r="F39" s="9" t="s">
        <v>174</v>
      </c>
      <c r="G39" s="9" t="s">
        <v>54</v>
      </c>
      <c r="H39" s="22" t="s">
        <v>85</v>
      </c>
    </row>
    <row r="40" spans="1:8" ht="48" customHeight="1">
      <c r="A40" s="9" t="s">
        <v>398</v>
      </c>
      <c r="B40" s="30" t="s">
        <v>26</v>
      </c>
      <c r="C40" s="16" t="s">
        <v>399</v>
      </c>
      <c r="D40" s="16" t="s">
        <v>400</v>
      </c>
      <c r="E40" s="16" t="s">
        <v>401</v>
      </c>
      <c r="F40" s="9" t="s">
        <v>174</v>
      </c>
      <c r="G40" s="9" t="s">
        <v>54</v>
      </c>
      <c r="H40" s="22" t="s">
        <v>85</v>
      </c>
    </row>
    <row r="41" spans="1:8" ht="48" customHeight="1">
      <c r="A41" s="9" t="s">
        <v>402</v>
      </c>
      <c r="B41" s="30" t="s">
        <v>26</v>
      </c>
      <c r="C41" s="16" t="s">
        <v>403</v>
      </c>
      <c r="D41" s="16" t="s">
        <v>404</v>
      </c>
      <c r="E41" s="16" t="s">
        <v>405</v>
      </c>
      <c r="F41" s="9" t="s">
        <v>174</v>
      </c>
      <c r="G41" s="9" t="s">
        <v>70</v>
      </c>
      <c r="H41" s="22" t="s">
        <v>85</v>
      </c>
    </row>
    <row r="42" spans="1:8" ht="48" customHeight="1">
      <c r="A42" s="9" t="s">
        <v>406</v>
      </c>
      <c r="B42" s="30" t="s">
        <v>26</v>
      </c>
      <c r="C42" s="16" t="s">
        <v>189</v>
      </c>
      <c r="D42" s="16" t="s">
        <v>407</v>
      </c>
      <c r="E42" s="16" t="s">
        <v>408</v>
      </c>
      <c r="F42" s="9" t="s">
        <v>174</v>
      </c>
      <c r="G42" s="9" t="s">
        <v>70</v>
      </c>
      <c r="H42" s="22" t="s">
        <v>137</v>
      </c>
    </row>
    <row r="43" spans="1:8" ht="48" customHeight="1">
      <c r="A43" s="17" t="s">
        <v>409</v>
      </c>
      <c r="B43" s="31" t="s">
        <v>27</v>
      </c>
      <c r="C43" s="19" t="s">
        <v>410</v>
      </c>
      <c r="D43" s="19" t="s">
        <v>411</v>
      </c>
      <c r="E43" s="19" t="s">
        <v>412</v>
      </c>
      <c r="F43" s="17" t="s">
        <v>196</v>
      </c>
      <c r="G43" s="17" t="s">
        <v>70</v>
      </c>
      <c r="H43" s="20" t="s">
        <v>64</v>
      </c>
    </row>
    <row r="44" spans="1:8" ht="48" customHeight="1">
      <c r="A44" s="9" t="s">
        <v>413</v>
      </c>
      <c r="B44" s="32" t="s">
        <v>27</v>
      </c>
      <c r="C44" s="16" t="s">
        <v>414</v>
      </c>
      <c r="D44" s="16" t="s">
        <v>415</v>
      </c>
      <c r="E44" s="16" t="s">
        <v>416</v>
      </c>
      <c r="F44" s="9" t="s">
        <v>201</v>
      </c>
      <c r="G44" s="9" t="s">
        <v>70</v>
      </c>
      <c r="H44" s="22" t="s">
        <v>64</v>
      </c>
    </row>
    <row r="45" spans="1:8" ht="48" customHeight="1">
      <c r="A45" s="9" t="s">
        <v>417</v>
      </c>
      <c r="B45" s="32" t="s">
        <v>27</v>
      </c>
      <c r="C45" s="16" t="s">
        <v>418</v>
      </c>
      <c r="D45" s="16" t="s">
        <v>419</v>
      </c>
      <c r="E45" s="16" t="s">
        <v>420</v>
      </c>
      <c r="F45" s="9" t="s">
        <v>206</v>
      </c>
      <c r="G45" s="9" t="s">
        <v>70</v>
      </c>
      <c r="H45" s="22" t="s">
        <v>64</v>
      </c>
    </row>
    <row r="46" spans="1:8" ht="48" customHeight="1">
      <c r="A46" s="9" t="s">
        <v>421</v>
      </c>
      <c r="B46" s="32" t="s">
        <v>27</v>
      </c>
      <c r="C46" s="16" t="s">
        <v>422</v>
      </c>
      <c r="D46" s="16" t="s">
        <v>423</v>
      </c>
      <c r="E46" s="16" t="s">
        <v>424</v>
      </c>
      <c r="F46" s="9" t="s">
        <v>211</v>
      </c>
      <c r="G46" s="9" t="s">
        <v>54</v>
      </c>
      <c r="H46" s="22" t="s">
        <v>64</v>
      </c>
    </row>
    <row r="47" spans="1:8" ht="48" customHeight="1">
      <c r="A47" s="9" t="s">
        <v>425</v>
      </c>
      <c r="B47" s="32" t="s">
        <v>27</v>
      </c>
      <c r="C47" s="16" t="s">
        <v>426</v>
      </c>
      <c r="D47" s="16" t="s">
        <v>427</v>
      </c>
      <c r="E47" s="16" t="s">
        <v>428</v>
      </c>
      <c r="F47" s="9" t="s">
        <v>216</v>
      </c>
      <c r="G47" s="9" t="s">
        <v>54</v>
      </c>
      <c r="H47" s="22" t="s">
        <v>137</v>
      </c>
    </row>
    <row r="48" spans="1:8" ht="48" customHeight="1">
      <c r="A48" s="9" t="s">
        <v>429</v>
      </c>
      <c r="B48" s="32" t="s">
        <v>27</v>
      </c>
      <c r="C48" s="16" t="s">
        <v>430</v>
      </c>
      <c r="D48" s="16" t="s">
        <v>431</v>
      </c>
      <c r="E48" s="16" t="s">
        <v>432</v>
      </c>
      <c r="F48" s="9" t="s">
        <v>221</v>
      </c>
      <c r="G48" s="9" t="s">
        <v>70</v>
      </c>
      <c r="H48" s="22" t="s">
        <v>85</v>
      </c>
    </row>
    <row r="49" spans="1:8" ht="48" customHeight="1">
      <c r="A49" s="17" t="s">
        <v>433</v>
      </c>
      <c r="B49" s="23" t="s">
        <v>28</v>
      </c>
      <c r="C49" s="19" t="s">
        <v>434</v>
      </c>
      <c r="D49" s="19" t="s">
        <v>435</v>
      </c>
      <c r="E49" s="19" t="s">
        <v>436</v>
      </c>
      <c r="F49" s="17" t="s">
        <v>226</v>
      </c>
      <c r="G49" s="17" t="s">
        <v>227</v>
      </c>
      <c r="H49" s="20" t="s">
        <v>55</v>
      </c>
    </row>
    <row r="50" spans="1:8" ht="48" customHeight="1">
      <c r="A50" s="9" t="s">
        <v>437</v>
      </c>
      <c r="B50" s="24" t="s">
        <v>28</v>
      </c>
      <c r="C50" s="16" t="s">
        <v>438</v>
      </c>
      <c r="D50" s="16" t="s">
        <v>439</v>
      </c>
      <c r="E50" s="16" t="s">
        <v>440</v>
      </c>
      <c r="F50" s="9" t="s">
        <v>226</v>
      </c>
      <c r="G50" s="9" t="s">
        <v>227</v>
      </c>
      <c r="H50" s="22" t="s">
        <v>55</v>
      </c>
    </row>
    <row r="51" spans="1:8" ht="48" customHeight="1">
      <c r="A51" s="17" t="s">
        <v>441</v>
      </c>
      <c r="B51" s="27" t="s">
        <v>29</v>
      </c>
      <c r="C51" s="19" t="s">
        <v>442</v>
      </c>
      <c r="D51" s="19" t="s">
        <v>443</v>
      </c>
      <c r="E51" s="19" t="s">
        <v>444</v>
      </c>
      <c r="F51" s="17" t="s">
        <v>236</v>
      </c>
      <c r="G51" s="17" t="s">
        <v>54</v>
      </c>
      <c r="H51" s="20" t="s">
        <v>85</v>
      </c>
    </row>
    <row r="52" spans="1:8" ht="48" customHeight="1">
      <c r="A52" s="9" t="s">
        <v>445</v>
      </c>
      <c r="B52" s="28" t="s">
        <v>29</v>
      </c>
      <c r="C52" s="16" t="s">
        <v>446</v>
      </c>
      <c r="D52" s="16" t="s">
        <v>447</v>
      </c>
      <c r="E52" s="16" t="s">
        <v>448</v>
      </c>
      <c r="F52" s="9" t="s">
        <v>53</v>
      </c>
      <c r="G52" s="9" t="s">
        <v>54</v>
      </c>
      <c r="H52" s="22" t="s">
        <v>85</v>
      </c>
    </row>
    <row r="53" spans="1:8" ht="48" customHeight="1">
      <c r="A53" s="9" t="s">
        <v>449</v>
      </c>
      <c r="B53" s="28" t="s">
        <v>29</v>
      </c>
      <c r="C53" s="16" t="s">
        <v>450</v>
      </c>
      <c r="D53" s="16" t="s">
        <v>451</v>
      </c>
      <c r="E53" s="16" t="s">
        <v>452</v>
      </c>
      <c r="F53" s="9" t="s">
        <v>245</v>
      </c>
      <c r="G53" s="9" t="s">
        <v>70</v>
      </c>
      <c r="H53" s="22" t="s">
        <v>64</v>
      </c>
    </row>
    <row r="54" spans="1:8" ht="48" customHeight="1">
      <c r="A54" s="9" t="s">
        <v>453</v>
      </c>
      <c r="B54" s="28" t="s">
        <v>29</v>
      </c>
      <c r="C54" s="16" t="s">
        <v>454</v>
      </c>
      <c r="D54" s="16" t="s">
        <v>455</v>
      </c>
      <c r="E54" s="16" t="s">
        <v>456</v>
      </c>
      <c r="F54" s="9" t="s">
        <v>250</v>
      </c>
      <c r="G54" s="9" t="s">
        <v>70</v>
      </c>
      <c r="H54" s="22" t="s">
        <v>55</v>
      </c>
    </row>
    <row r="55" spans="1:8" ht="48" customHeight="1">
      <c r="A55" s="9" t="s">
        <v>457</v>
      </c>
      <c r="B55" s="28" t="s">
        <v>29</v>
      </c>
      <c r="C55" s="16" t="s">
        <v>458</v>
      </c>
      <c r="D55" s="16" t="s">
        <v>459</v>
      </c>
      <c r="E55" s="16" t="s">
        <v>460</v>
      </c>
      <c r="F55" s="9" t="s">
        <v>255</v>
      </c>
      <c r="G55" s="9" t="s">
        <v>70</v>
      </c>
      <c r="H55" s="22" t="s">
        <v>137</v>
      </c>
    </row>
  </sheetData>
  <autoFilter ref="A4:H55"/>
  <mergeCells count="3">
    <mergeCell ref="A1:H1"/>
    <mergeCell ref="A2:H2"/>
    <mergeCell ref="A3:H3"/>
  </mergeCells>
  <hyperlinks>
    <hyperlink ref="H5" r:id="rId1"/>
    <hyperlink ref="H6" r:id="rId2"/>
    <hyperlink ref="H7" r:id="rId3"/>
    <hyperlink ref="H8" r:id="rId4"/>
    <hyperlink ref="H9" r:id="rId5"/>
    <hyperlink ref="H10" r:id="rId6"/>
    <hyperlink ref="H11" r:id="rId7"/>
    <hyperlink ref="H12" r:id="rId8"/>
    <hyperlink ref="H13" r:id="rId9"/>
    <hyperlink ref="H14" r:id="rId10"/>
    <hyperlink ref="H15" r:id="rId11"/>
    <hyperlink ref="H16" r:id="rId12"/>
    <hyperlink ref="H17" r:id="rId13"/>
    <hyperlink ref="H18" r:id="rId14"/>
    <hyperlink ref="H19" r:id="rId15"/>
    <hyperlink ref="H20" r:id="rId16"/>
    <hyperlink ref="H21" r:id="rId17"/>
    <hyperlink ref="H22" r:id="rId18"/>
    <hyperlink ref="H23" r:id="rId19"/>
    <hyperlink ref="H24" r:id="rId20"/>
    <hyperlink ref="H25" r:id="rId21"/>
    <hyperlink ref="H26" r:id="rId22"/>
    <hyperlink ref="H27" r:id="rId23"/>
    <hyperlink ref="H28" r:id="rId24"/>
    <hyperlink ref="H29" r:id="rId25"/>
    <hyperlink ref="H30" r:id="rId26"/>
    <hyperlink ref="H31" r:id="rId27"/>
    <hyperlink ref="H32" r:id="rId28"/>
    <hyperlink ref="H33" r:id="rId29"/>
    <hyperlink ref="H34" r:id="rId30"/>
    <hyperlink ref="H35" r:id="rId31"/>
    <hyperlink ref="H36" r:id="rId32"/>
    <hyperlink ref="H37" r:id="rId33"/>
    <hyperlink ref="H38" r:id="rId34"/>
    <hyperlink ref="H39" r:id="rId35"/>
    <hyperlink ref="H40" r:id="rId36"/>
    <hyperlink ref="H41" r:id="rId37"/>
    <hyperlink ref="H42" r:id="rId38"/>
    <hyperlink ref="H43" r:id="rId39"/>
    <hyperlink ref="H44" r:id="rId40"/>
    <hyperlink ref="H45" r:id="rId41"/>
    <hyperlink ref="H46" r:id="rId42"/>
    <hyperlink ref="H47" r:id="rId43"/>
    <hyperlink ref="H48" r:id="rId44"/>
    <hyperlink ref="H49" r:id="rId45"/>
    <hyperlink ref="H50" r:id="rId46"/>
    <hyperlink ref="H51" r:id="rId47"/>
    <hyperlink ref="H52" r:id="rId48"/>
    <hyperlink ref="H53" r:id="rId49"/>
    <hyperlink ref="H54" r:id="rId50"/>
    <hyperlink ref="H55" r:id="rId51"/>
  </hyperlinks>
  <pageMargins left="0.25" right="0.25" top="0.35" bottom="0.35" header="0.3" footer="0.3"/>
  <pageSetup paperSize="8" fitToHeight="0" orientation="landscape"/>
  <headerFooter>
    <oddHeader>&amp;C&amp;"Apple SD Gothic Neo,Bold"MIPI DSI v1.3.1 CTS 요약</oddHeader>
    <oddFooter>&amp;L공개 범위 기반 체크리스트&amp;RPage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BF9000"/>
    <pageSetUpPr fitToPage="1"/>
  </sheetPr>
  <dimension ref="A1:O98"/>
  <sheetViews>
    <sheetView showGridLines="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18" customHeight="1"/>
  <cols>
    <col min="1" max="1" width="15.7109375" customWidth="1"/>
    <col min="2" max="2" width="14.7109375" customWidth="1"/>
    <col min="3" max="3" width="20.7109375" customWidth="1"/>
    <col min="4" max="4" width="27.7109375" customWidth="1"/>
    <col min="5" max="5" width="42.7109375" customWidth="1"/>
    <col min="6" max="6" width="46.7109375" customWidth="1"/>
    <col min="7" max="7" width="21.7109375" customWidth="1"/>
    <col min="8" max="8" width="10.7109375" customWidth="1"/>
    <col min="9" max="9" width="13.7109375" customWidth="1"/>
    <col min="10" max="10" width="12.7109375" customWidth="1"/>
    <col min="11" max="11" width="10.7109375" customWidth="1"/>
    <col min="12" max="12" width="14.7109375" customWidth="1"/>
    <col min="13" max="14" width="28.7109375" customWidth="1"/>
    <col min="15" max="15" width="38.7109375" customWidth="1"/>
  </cols>
  <sheetData>
    <row r="1" spans="1:15" ht="31" customHeight="1">
      <c r="A1" s="1" t="s">
        <v>461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38" customHeight="1">
      <c r="A2" s="2" t="s">
        <v>462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31" customHeight="1">
      <c r="A3" s="6" t="s">
        <v>463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15" ht="31" customHeight="1">
      <c r="A4" s="8" t="s">
        <v>42</v>
      </c>
      <c r="B4" s="8" t="s">
        <v>464</v>
      </c>
      <c r="C4" s="8" t="s">
        <v>14</v>
      </c>
      <c r="D4" s="8" t="s">
        <v>43</v>
      </c>
      <c r="E4" s="8" t="s">
        <v>44</v>
      </c>
      <c r="F4" s="8" t="s">
        <v>45</v>
      </c>
      <c r="G4" s="8" t="s">
        <v>46</v>
      </c>
      <c r="H4" s="8" t="s">
        <v>47</v>
      </c>
      <c r="I4" s="8" t="s">
        <v>465</v>
      </c>
      <c r="J4" s="8" t="s">
        <v>466</v>
      </c>
      <c r="K4" s="8" t="s">
        <v>467</v>
      </c>
      <c r="L4" s="8" t="s">
        <v>468</v>
      </c>
      <c r="M4" s="8" t="s">
        <v>469</v>
      </c>
      <c r="N4" s="8" t="s">
        <v>470</v>
      </c>
      <c r="O4" s="8" t="s">
        <v>48</v>
      </c>
    </row>
    <row r="5" spans="1:15" ht="48" customHeight="1">
      <c r="A5" s="17" t="s">
        <v>49</v>
      </c>
      <c r="B5" s="17" t="s">
        <v>3</v>
      </c>
      <c r="C5" s="18" t="s">
        <v>17</v>
      </c>
      <c r="D5" s="19" t="s">
        <v>50</v>
      </c>
      <c r="E5" s="19" t="s">
        <v>51</v>
      </c>
      <c r="F5" s="19" t="s">
        <v>52</v>
      </c>
      <c r="G5" s="17" t="s">
        <v>53</v>
      </c>
      <c r="H5" s="17" t="s">
        <v>54</v>
      </c>
      <c r="I5" s="17" t="s">
        <v>471</v>
      </c>
      <c r="J5" s="17" t="s">
        <v>472</v>
      </c>
      <c r="K5" s="17" t="s">
        <v>473</v>
      </c>
      <c r="L5" s="17"/>
      <c r="M5" s="19"/>
      <c r="N5" s="19"/>
      <c r="O5" s="20" t="s">
        <v>55</v>
      </c>
    </row>
    <row r="6" spans="1:15" ht="48" customHeight="1">
      <c r="A6" s="9" t="s">
        <v>56</v>
      </c>
      <c r="B6" s="9" t="s">
        <v>3</v>
      </c>
      <c r="C6" s="21" t="s">
        <v>17</v>
      </c>
      <c r="D6" s="16" t="s">
        <v>57</v>
      </c>
      <c r="E6" s="16" t="s">
        <v>58</v>
      </c>
      <c r="F6" s="16" t="s">
        <v>59</v>
      </c>
      <c r="G6" s="9" t="s">
        <v>53</v>
      </c>
      <c r="H6" s="9" t="s">
        <v>54</v>
      </c>
      <c r="I6" s="9" t="s">
        <v>471</v>
      </c>
      <c r="J6" s="9" t="s">
        <v>472</v>
      </c>
      <c r="K6" s="9" t="s">
        <v>473</v>
      </c>
      <c r="L6" s="9"/>
      <c r="M6" s="16"/>
      <c r="N6" s="16"/>
      <c r="O6" s="22" t="s">
        <v>55</v>
      </c>
    </row>
    <row r="7" spans="1:15" ht="48" customHeight="1">
      <c r="A7" s="9" t="s">
        <v>60</v>
      </c>
      <c r="B7" s="9" t="s">
        <v>3</v>
      </c>
      <c r="C7" s="21" t="s">
        <v>17</v>
      </c>
      <c r="D7" s="16" t="s">
        <v>61</v>
      </c>
      <c r="E7" s="16" t="s">
        <v>62</v>
      </c>
      <c r="F7" s="16" t="s">
        <v>63</v>
      </c>
      <c r="G7" s="9" t="s">
        <v>53</v>
      </c>
      <c r="H7" s="9" t="s">
        <v>54</v>
      </c>
      <c r="I7" s="9" t="s">
        <v>471</v>
      </c>
      <c r="J7" s="9" t="s">
        <v>472</v>
      </c>
      <c r="K7" s="9" t="s">
        <v>473</v>
      </c>
      <c r="L7" s="9"/>
      <c r="M7" s="16"/>
      <c r="N7" s="16"/>
      <c r="O7" s="22" t="s">
        <v>64</v>
      </c>
    </row>
    <row r="8" spans="1:15" ht="48" customHeight="1">
      <c r="A8" s="9" t="s">
        <v>65</v>
      </c>
      <c r="B8" s="9" t="s">
        <v>3</v>
      </c>
      <c r="C8" s="21" t="s">
        <v>17</v>
      </c>
      <c r="D8" s="16" t="s">
        <v>66</v>
      </c>
      <c r="E8" s="16" t="s">
        <v>67</v>
      </c>
      <c r="F8" s="16" t="s">
        <v>68</v>
      </c>
      <c r="G8" s="9" t="s">
        <v>69</v>
      </c>
      <c r="H8" s="9" t="s">
        <v>70</v>
      </c>
      <c r="I8" s="9" t="s">
        <v>474</v>
      </c>
      <c r="J8" s="9" t="s">
        <v>472</v>
      </c>
      <c r="K8" s="9" t="s">
        <v>473</v>
      </c>
      <c r="L8" s="9"/>
      <c r="M8" s="16"/>
      <c r="N8" s="16"/>
      <c r="O8" s="22" t="s">
        <v>55</v>
      </c>
    </row>
    <row r="9" spans="1:15" ht="48" customHeight="1">
      <c r="A9" s="9" t="s">
        <v>71</v>
      </c>
      <c r="B9" s="9" t="s">
        <v>3</v>
      </c>
      <c r="C9" s="21" t="s">
        <v>17</v>
      </c>
      <c r="D9" s="16" t="s">
        <v>72</v>
      </c>
      <c r="E9" s="16" t="s">
        <v>73</v>
      </c>
      <c r="F9" s="16" t="s">
        <v>74</v>
      </c>
      <c r="G9" s="9" t="s">
        <v>75</v>
      </c>
      <c r="H9" s="9" t="s">
        <v>70</v>
      </c>
      <c r="I9" s="9" t="s">
        <v>474</v>
      </c>
      <c r="J9" s="9" t="s">
        <v>472</v>
      </c>
      <c r="K9" s="9" t="s">
        <v>473</v>
      </c>
      <c r="L9" s="9"/>
      <c r="M9" s="16"/>
      <c r="N9" s="16"/>
      <c r="O9" s="22" t="s">
        <v>64</v>
      </c>
    </row>
    <row r="10" spans="1:15" ht="48" customHeight="1">
      <c r="A10" s="9" t="s">
        <v>76</v>
      </c>
      <c r="B10" s="9" t="s">
        <v>3</v>
      </c>
      <c r="C10" s="21" t="s">
        <v>17</v>
      </c>
      <c r="D10" s="16" t="s">
        <v>77</v>
      </c>
      <c r="E10" s="16" t="s">
        <v>78</v>
      </c>
      <c r="F10" s="16" t="s">
        <v>79</v>
      </c>
      <c r="G10" s="9" t="s">
        <v>80</v>
      </c>
      <c r="H10" s="9" t="s">
        <v>70</v>
      </c>
      <c r="I10" s="9" t="s">
        <v>474</v>
      </c>
      <c r="J10" s="9" t="s">
        <v>472</v>
      </c>
      <c r="K10" s="9" t="s">
        <v>473</v>
      </c>
      <c r="L10" s="9"/>
      <c r="M10" s="16"/>
      <c r="N10" s="16"/>
      <c r="O10" s="22" t="s">
        <v>55</v>
      </c>
    </row>
    <row r="11" spans="1:15" ht="48" customHeight="1">
      <c r="A11" s="9" t="s">
        <v>81</v>
      </c>
      <c r="B11" s="9" t="s">
        <v>3</v>
      </c>
      <c r="C11" s="21" t="s">
        <v>17</v>
      </c>
      <c r="D11" s="16" t="s">
        <v>82</v>
      </c>
      <c r="E11" s="16" t="s">
        <v>83</v>
      </c>
      <c r="F11" s="16" t="s">
        <v>84</v>
      </c>
      <c r="G11" s="9" t="s">
        <v>53</v>
      </c>
      <c r="H11" s="9" t="s">
        <v>70</v>
      </c>
      <c r="I11" s="9" t="s">
        <v>471</v>
      </c>
      <c r="J11" s="9" t="s">
        <v>472</v>
      </c>
      <c r="K11" s="9" t="s">
        <v>473</v>
      </c>
      <c r="L11" s="9"/>
      <c r="M11" s="16"/>
      <c r="N11" s="16"/>
      <c r="O11" s="22" t="s">
        <v>85</v>
      </c>
    </row>
    <row r="12" spans="1:15" ht="48" customHeight="1">
      <c r="A12" s="17" t="s">
        <v>86</v>
      </c>
      <c r="B12" s="17" t="s">
        <v>3</v>
      </c>
      <c r="C12" s="23" t="s">
        <v>20</v>
      </c>
      <c r="D12" s="19" t="s">
        <v>87</v>
      </c>
      <c r="E12" s="19" t="s">
        <v>88</v>
      </c>
      <c r="F12" s="19" t="s">
        <v>89</v>
      </c>
      <c r="G12" s="17" t="s">
        <v>53</v>
      </c>
      <c r="H12" s="17" t="s">
        <v>54</v>
      </c>
      <c r="I12" s="17" t="s">
        <v>471</v>
      </c>
      <c r="J12" s="17" t="s">
        <v>472</v>
      </c>
      <c r="K12" s="17" t="s">
        <v>473</v>
      </c>
      <c r="L12" s="17"/>
      <c r="M12" s="19"/>
      <c r="N12" s="19"/>
      <c r="O12" s="20" t="s">
        <v>64</v>
      </c>
    </row>
    <row r="13" spans="1:15" ht="48" customHeight="1">
      <c r="A13" s="9" t="s">
        <v>90</v>
      </c>
      <c r="B13" s="9" t="s">
        <v>3</v>
      </c>
      <c r="C13" s="24" t="s">
        <v>20</v>
      </c>
      <c r="D13" s="16" t="s">
        <v>91</v>
      </c>
      <c r="E13" s="16" t="s">
        <v>92</v>
      </c>
      <c r="F13" s="16" t="s">
        <v>93</v>
      </c>
      <c r="G13" s="9" t="s">
        <v>94</v>
      </c>
      <c r="H13" s="9" t="s">
        <v>54</v>
      </c>
      <c r="I13" s="9" t="s">
        <v>474</v>
      </c>
      <c r="J13" s="9" t="s">
        <v>472</v>
      </c>
      <c r="K13" s="9" t="s">
        <v>473</v>
      </c>
      <c r="L13" s="9"/>
      <c r="M13" s="16"/>
      <c r="N13" s="16"/>
      <c r="O13" s="22" t="s">
        <v>64</v>
      </c>
    </row>
    <row r="14" spans="1:15" ht="48" customHeight="1">
      <c r="A14" s="17" t="s">
        <v>95</v>
      </c>
      <c r="B14" s="17" t="s">
        <v>3</v>
      </c>
      <c r="C14" s="25" t="s">
        <v>22</v>
      </c>
      <c r="D14" s="19" t="s">
        <v>96</v>
      </c>
      <c r="E14" s="19" t="s">
        <v>97</v>
      </c>
      <c r="F14" s="19" t="s">
        <v>98</v>
      </c>
      <c r="G14" s="17" t="s">
        <v>99</v>
      </c>
      <c r="H14" s="17" t="s">
        <v>54</v>
      </c>
      <c r="I14" s="17" t="s">
        <v>474</v>
      </c>
      <c r="J14" s="17" t="s">
        <v>472</v>
      </c>
      <c r="K14" s="17" t="s">
        <v>473</v>
      </c>
      <c r="L14" s="17"/>
      <c r="M14" s="19"/>
      <c r="N14" s="19"/>
      <c r="O14" s="20" t="s">
        <v>55</v>
      </c>
    </row>
    <row r="15" spans="1:15" ht="48" customHeight="1">
      <c r="A15" s="9" t="s">
        <v>100</v>
      </c>
      <c r="B15" s="9" t="s">
        <v>3</v>
      </c>
      <c r="C15" s="26" t="s">
        <v>22</v>
      </c>
      <c r="D15" s="16" t="s">
        <v>101</v>
      </c>
      <c r="E15" s="16" t="s">
        <v>102</v>
      </c>
      <c r="F15" s="16" t="s">
        <v>103</v>
      </c>
      <c r="G15" s="9" t="s">
        <v>99</v>
      </c>
      <c r="H15" s="9" t="s">
        <v>54</v>
      </c>
      <c r="I15" s="9" t="s">
        <v>474</v>
      </c>
      <c r="J15" s="9" t="s">
        <v>472</v>
      </c>
      <c r="K15" s="9" t="s">
        <v>473</v>
      </c>
      <c r="L15" s="9"/>
      <c r="M15" s="16"/>
      <c r="N15" s="16"/>
      <c r="O15" s="22" t="s">
        <v>55</v>
      </c>
    </row>
    <row r="16" spans="1:15" ht="48" customHeight="1">
      <c r="A16" s="9" t="s">
        <v>104</v>
      </c>
      <c r="B16" s="9" t="s">
        <v>3</v>
      </c>
      <c r="C16" s="26" t="s">
        <v>22</v>
      </c>
      <c r="D16" s="16" t="s">
        <v>105</v>
      </c>
      <c r="E16" s="16" t="s">
        <v>106</v>
      </c>
      <c r="F16" s="16" t="s">
        <v>107</v>
      </c>
      <c r="G16" s="9" t="s">
        <v>108</v>
      </c>
      <c r="H16" s="9" t="s">
        <v>54</v>
      </c>
      <c r="I16" s="9" t="s">
        <v>474</v>
      </c>
      <c r="J16" s="9" t="s">
        <v>472</v>
      </c>
      <c r="K16" s="9" t="s">
        <v>473</v>
      </c>
      <c r="L16" s="9"/>
      <c r="M16" s="16"/>
      <c r="N16" s="16"/>
      <c r="O16" s="22" t="s">
        <v>55</v>
      </c>
    </row>
    <row r="17" spans="1:15" ht="48" customHeight="1">
      <c r="A17" s="9" t="s">
        <v>109</v>
      </c>
      <c r="B17" s="9" t="s">
        <v>3</v>
      </c>
      <c r="C17" s="26" t="s">
        <v>22</v>
      </c>
      <c r="D17" s="16" t="s">
        <v>110</v>
      </c>
      <c r="E17" s="16" t="s">
        <v>111</v>
      </c>
      <c r="F17" s="16" t="s">
        <v>112</v>
      </c>
      <c r="G17" s="9" t="s">
        <v>113</v>
      </c>
      <c r="H17" s="9" t="s">
        <v>54</v>
      </c>
      <c r="I17" s="9" t="s">
        <v>474</v>
      </c>
      <c r="J17" s="9" t="s">
        <v>472</v>
      </c>
      <c r="K17" s="9" t="s">
        <v>473</v>
      </c>
      <c r="L17" s="9"/>
      <c r="M17" s="16"/>
      <c r="N17" s="16"/>
      <c r="O17" s="22" t="s">
        <v>55</v>
      </c>
    </row>
    <row r="18" spans="1:15" ht="48" customHeight="1">
      <c r="A18" s="9" t="s">
        <v>114</v>
      </c>
      <c r="B18" s="9" t="s">
        <v>3</v>
      </c>
      <c r="C18" s="26" t="s">
        <v>22</v>
      </c>
      <c r="D18" s="16" t="s">
        <v>115</v>
      </c>
      <c r="E18" s="16" t="s">
        <v>116</v>
      </c>
      <c r="F18" s="16" t="s">
        <v>117</v>
      </c>
      <c r="G18" s="9" t="s">
        <v>113</v>
      </c>
      <c r="H18" s="9" t="s">
        <v>54</v>
      </c>
      <c r="I18" s="9" t="s">
        <v>474</v>
      </c>
      <c r="J18" s="9" t="s">
        <v>472</v>
      </c>
      <c r="K18" s="9" t="s">
        <v>473</v>
      </c>
      <c r="L18" s="9"/>
      <c r="M18" s="16"/>
      <c r="N18" s="16"/>
      <c r="O18" s="22" t="s">
        <v>55</v>
      </c>
    </row>
    <row r="19" spans="1:15" ht="48" customHeight="1">
      <c r="A19" s="9" t="s">
        <v>118</v>
      </c>
      <c r="B19" s="9" t="s">
        <v>3</v>
      </c>
      <c r="C19" s="26" t="s">
        <v>22</v>
      </c>
      <c r="D19" s="16" t="s">
        <v>119</v>
      </c>
      <c r="E19" s="16" t="s">
        <v>120</v>
      </c>
      <c r="F19" s="16" t="s">
        <v>121</v>
      </c>
      <c r="G19" s="9" t="s">
        <v>122</v>
      </c>
      <c r="H19" s="9" t="s">
        <v>54</v>
      </c>
      <c r="I19" s="9" t="s">
        <v>474</v>
      </c>
      <c r="J19" s="9" t="s">
        <v>472</v>
      </c>
      <c r="K19" s="9" t="s">
        <v>473</v>
      </c>
      <c r="L19" s="9"/>
      <c r="M19" s="16"/>
      <c r="N19" s="16"/>
      <c r="O19" s="22" t="s">
        <v>55</v>
      </c>
    </row>
    <row r="20" spans="1:15" ht="48" customHeight="1">
      <c r="A20" s="9" t="s">
        <v>123</v>
      </c>
      <c r="B20" s="9" t="s">
        <v>3</v>
      </c>
      <c r="C20" s="26" t="s">
        <v>22</v>
      </c>
      <c r="D20" s="16" t="s">
        <v>124</v>
      </c>
      <c r="E20" s="16" t="s">
        <v>125</v>
      </c>
      <c r="F20" s="16" t="s">
        <v>126</v>
      </c>
      <c r="G20" s="9" t="s">
        <v>108</v>
      </c>
      <c r="H20" s="9" t="s">
        <v>70</v>
      </c>
      <c r="I20" s="9" t="s">
        <v>474</v>
      </c>
      <c r="J20" s="9" t="s">
        <v>472</v>
      </c>
      <c r="K20" s="9" t="s">
        <v>473</v>
      </c>
      <c r="L20" s="9"/>
      <c r="M20" s="16"/>
      <c r="N20" s="16"/>
      <c r="O20" s="22" t="s">
        <v>55</v>
      </c>
    </row>
    <row r="21" spans="1:15" ht="48" customHeight="1">
      <c r="A21" s="9" t="s">
        <v>127</v>
      </c>
      <c r="B21" s="9" t="s">
        <v>3</v>
      </c>
      <c r="C21" s="26" t="s">
        <v>22</v>
      </c>
      <c r="D21" s="16" t="s">
        <v>128</v>
      </c>
      <c r="E21" s="16" t="s">
        <v>129</v>
      </c>
      <c r="F21" s="16" t="s">
        <v>130</v>
      </c>
      <c r="G21" s="9" t="s">
        <v>131</v>
      </c>
      <c r="H21" s="9" t="s">
        <v>70</v>
      </c>
      <c r="I21" s="9" t="s">
        <v>474</v>
      </c>
      <c r="J21" s="9" t="s">
        <v>472</v>
      </c>
      <c r="K21" s="9" t="s">
        <v>473</v>
      </c>
      <c r="L21" s="9"/>
      <c r="M21" s="16"/>
      <c r="N21" s="16"/>
      <c r="O21" s="22" t="s">
        <v>55</v>
      </c>
    </row>
    <row r="22" spans="1:15" ht="48" customHeight="1">
      <c r="A22" s="9" t="s">
        <v>132</v>
      </c>
      <c r="B22" s="9" t="s">
        <v>3</v>
      </c>
      <c r="C22" s="26" t="s">
        <v>22</v>
      </c>
      <c r="D22" s="16" t="s">
        <v>133</v>
      </c>
      <c r="E22" s="16" t="s">
        <v>134</v>
      </c>
      <c r="F22" s="16" t="s">
        <v>135</v>
      </c>
      <c r="G22" s="9" t="s">
        <v>136</v>
      </c>
      <c r="H22" s="9" t="s">
        <v>70</v>
      </c>
      <c r="I22" s="9" t="s">
        <v>474</v>
      </c>
      <c r="J22" s="9" t="s">
        <v>472</v>
      </c>
      <c r="K22" s="9" t="s">
        <v>473</v>
      </c>
      <c r="L22" s="9"/>
      <c r="M22" s="16"/>
      <c r="N22" s="16"/>
      <c r="O22" s="22" t="s">
        <v>137</v>
      </c>
    </row>
    <row r="23" spans="1:15" ht="48" customHeight="1">
      <c r="A23" s="17" t="s">
        <v>138</v>
      </c>
      <c r="B23" s="17" t="s">
        <v>3</v>
      </c>
      <c r="C23" s="27" t="s">
        <v>24</v>
      </c>
      <c r="D23" s="19" t="s">
        <v>139</v>
      </c>
      <c r="E23" s="19" t="s">
        <v>140</v>
      </c>
      <c r="F23" s="19" t="s">
        <v>141</v>
      </c>
      <c r="G23" s="17" t="s">
        <v>142</v>
      </c>
      <c r="H23" s="17" t="s">
        <v>54</v>
      </c>
      <c r="I23" s="17" t="s">
        <v>474</v>
      </c>
      <c r="J23" s="17" t="s">
        <v>472</v>
      </c>
      <c r="K23" s="17" t="s">
        <v>473</v>
      </c>
      <c r="L23" s="17"/>
      <c r="M23" s="19"/>
      <c r="N23" s="19"/>
      <c r="O23" s="20" t="s">
        <v>55</v>
      </c>
    </row>
    <row r="24" spans="1:15" ht="48" customHeight="1">
      <c r="A24" s="9" t="s">
        <v>143</v>
      </c>
      <c r="B24" s="9" t="s">
        <v>3</v>
      </c>
      <c r="C24" s="28" t="s">
        <v>24</v>
      </c>
      <c r="D24" s="16" t="s">
        <v>144</v>
      </c>
      <c r="E24" s="16" t="s">
        <v>145</v>
      </c>
      <c r="F24" s="16" t="s">
        <v>146</v>
      </c>
      <c r="G24" s="9" t="s">
        <v>142</v>
      </c>
      <c r="H24" s="9" t="s">
        <v>70</v>
      </c>
      <c r="I24" s="9" t="s">
        <v>474</v>
      </c>
      <c r="J24" s="9" t="s">
        <v>472</v>
      </c>
      <c r="K24" s="9" t="s">
        <v>473</v>
      </c>
      <c r="L24" s="9"/>
      <c r="M24" s="16"/>
      <c r="N24" s="16"/>
      <c r="O24" s="22" t="s">
        <v>85</v>
      </c>
    </row>
    <row r="25" spans="1:15" ht="48" customHeight="1">
      <c r="A25" s="9" t="s">
        <v>147</v>
      </c>
      <c r="B25" s="9" t="s">
        <v>3</v>
      </c>
      <c r="C25" s="28" t="s">
        <v>24</v>
      </c>
      <c r="D25" s="16" t="s">
        <v>148</v>
      </c>
      <c r="E25" s="16" t="s">
        <v>149</v>
      </c>
      <c r="F25" s="16" t="s">
        <v>150</v>
      </c>
      <c r="G25" s="9" t="s">
        <v>151</v>
      </c>
      <c r="H25" s="9" t="s">
        <v>70</v>
      </c>
      <c r="I25" s="9" t="s">
        <v>474</v>
      </c>
      <c r="J25" s="9" t="s">
        <v>472</v>
      </c>
      <c r="K25" s="9" t="s">
        <v>473</v>
      </c>
      <c r="L25" s="9"/>
      <c r="M25" s="16"/>
      <c r="N25" s="16"/>
      <c r="O25" s="22" t="s">
        <v>55</v>
      </c>
    </row>
    <row r="26" spans="1:15" ht="48" customHeight="1">
      <c r="A26" s="9" t="s">
        <v>152</v>
      </c>
      <c r="B26" s="9" t="s">
        <v>3</v>
      </c>
      <c r="C26" s="28" t="s">
        <v>24</v>
      </c>
      <c r="D26" s="16" t="s">
        <v>153</v>
      </c>
      <c r="E26" s="16" t="s">
        <v>154</v>
      </c>
      <c r="F26" s="16" t="s">
        <v>155</v>
      </c>
      <c r="G26" s="9" t="s">
        <v>108</v>
      </c>
      <c r="H26" s="9" t="s">
        <v>70</v>
      </c>
      <c r="I26" s="9" t="s">
        <v>474</v>
      </c>
      <c r="J26" s="9" t="s">
        <v>472</v>
      </c>
      <c r="K26" s="9" t="s">
        <v>473</v>
      </c>
      <c r="L26" s="9"/>
      <c r="M26" s="16"/>
      <c r="N26" s="16"/>
      <c r="O26" s="22" t="s">
        <v>55</v>
      </c>
    </row>
    <row r="27" spans="1:15" ht="48" customHeight="1">
      <c r="A27" s="17" t="s">
        <v>156</v>
      </c>
      <c r="B27" s="17" t="s">
        <v>3</v>
      </c>
      <c r="C27" s="29" t="s">
        <v>26</v>
      </c>
      <c r="D27" s="19" t="s">
        <v>157</v>
      </c>
      <c r="E27" s="19" t="s">
        <v>158</v>
      </c>
      <c r="F27" s="19" t="s">
        <v>159</v>
      </c>
      <c r="G27" s="17" t="s">
        <v>160</v>
      </c>
      <c r="H27" s="17" t="s">
        <v>54</v>
      </c>
      <c r="I27" s="17" t="s">
        <v>474</v>
      </c>
      <c r="J27" s="17" t="s">
        <v>472</v>
      </c>
      <c r="K27" s="17" t="s">
        <v>473</v>
      </c>
      <c r="L27" s="17"/>
      <c r="M27" s="19"/>
      <c r="N27" s="19"/>
      <c r="O27" s="20" t="s">
        <v>85</v>
      </c>
    </row>
    <row r="28" spans="1:15" ht="48" customHeight="1">
      <c r="A28" s="9" t="s">
        <v>161</v>
      </c>
      <c r="B28" s="9" t="s">
        <v>3</v>
      </c>
      <c r="C28" s="30" t="s">
        <v>26</v>
      </c>
      <c r="D28" s="16" t="s">
        <v>162</v>
      </c>
      <c r="E28" s="16" t="s">
        <v>163</v>
      </c>
      <c r="F28" s="16" t="s">
        <v>164</v>
      </c>
      <c r="G28" s="9" t="s">
        <v>160</v>
      </c>
      <c r="H28" s="9" t="s">
        <v>54</v>
      </c>
      <c r="I28" s="9" t="s">
        <v>474</v>
      </c>
      <c r="J28" s="9" t="s">
        <v>472</v>
      </c>
      <c r="K28" s="9" t="s">
        <v>473</v>
      </c>
      <c r="L28" s="9"/>
      <c r="M28" s="16"/>
      <c r="N28" s="16"/>
      <c r="O28" s="22" t="s">
        <v>85</v>
      </c>
    </row>
    <row r="29" spans="1:15" ht="48" customHeight="1">
      <c r="A29" s="9" t="s">
        <v>165</v>
      </c>
      <c r="B29" s="9" t="s">
        <v>3</v>
      </c>
      <c r="C29" s="30" t="s">
        <v>26</v>
      </c>
      <c r="D29" s="16" t="s">
        <v>166</v>
      </c>
      <c r="E29" s="16" t="s">
        <v>167</v>
      </c>
      <c r="F29" s="16" t="s">
        <v>168</v>
      </c>
      <c r="G29" s="9" t="s">
        <v>169</v>
      </c>
      <c r="H29" s="9" t="s">
        <v>54</v>
      </c>
      <c r="I29" s="9" t="s">
        <v>474</v>
      </c>
      <c r="J29" s="9" t="s">
        <v>472</v>
      </c>
      <c r="K29" s="9" t="s">
        <v>473</v>
      </c>
      <c r="L29" s="9"/>
      <c r="M29" s="16"/>
      <c r="N29" s="16"/>
      <c r="O29" s="22" t="s">
        <v>85</v>
      </c>
    </row>
    <row r="30" spans="1:15" ht="48" customHeight="1">
      <c r="A30" s="9" t="s">
        <v>170</v>
      </c>
      <c r="B30" s="9" t="s">
        <v>3</v>
      </c>
      <c r="C30" s="30" t="s">
        <v>26</v>
      </c>
      <c r="D30" s="16" t="s">
        <v>171</v>
      </c>
      <c r="E30" s="16" t="s">
        <v>172</v>
      </c>
      <c r="F30" s="16" t="s">
        <v>173</v>
      </c>
      <c r="G30" s="9" t="s">
        <v>174</v>
      </c>
      <c r="H30" s="9" t="s">
        <v>54</v>
      </c>
      <c r="I30" s="9" t="s">
        <v>474</v>
      </c>
      <c r="J30" s="9" t="s">
        <v>472</v>
      </c>
      <c r="K30" s="9" t="s">
        <v>473</v>
      </c>
      <c r="L30" s="9"/>
      <c r="M30" s="16"/>
      <c r="N30" s="16"/>
      <c r="O30" s="22" t="s">
        <v>85</v>
      </c>
    </row>
    <row r="31" spans="1:15" ht="48" customHeight="1">
      <c r="A31" s="9" t="s">
        <v>175</v>
      </c>
      <c r="B31" s="9" t="s">
        <v>3</v>
      </c>
      <c r="C31" s="30" t="s">
        <v>26</v>
      </c>
      <c r="D31" s="16" t="s">
        <v>176</v>
      </c>
      <c r="E31" s="16" t="s">
        <v>177</v>
      </c>
      <c r="F31" s="16" t="s">
        <v>178</v>
      </c>
      <c r="G31" s="9" t="s">
        <v>174</v>
      </c>
      <c r="H31" s="9" t="s">
        <v>54</v>
      </c>
      <c r="I31" s="9" t="s">
        <v>474</v>
      </c>
      <c r="J31" s="9" t="s">
        <v>472</v>
      </c>
      <c r="K31" s="9" t="s">
        <v>473</v>
      </c>
      <c r="L31" s="9"/>
      <c r="M31" s="16"/>
      <c r="N31" s="16"/>
      <c r="O31" s="22" t="s">
        <v>85</v>
      </c>
    </row>
    <row r="32" spans="1:15" ht="48" customHeight="1">
      <c r="A32" s="9" t="s">
        <v>179</v>
      </c>
      <c r="B32" s="9" t="s">
        <v>3</v>
      </c>
      <c r="C32" s="30" t="s">
        <v>26</v>
      </c>
      <c r="D32" s="16" t="s">
        <v>180</v>
      </c>
      <c r="E32" s="16" t="s">
        <v>181</v>
      </c>
      <c r="F32" s="16" t="s">
        <v>182</v>
      </c>
      <c r="G32" s="9" t="s">
        <v>174</v>
      </c>
      <c r="H32" s="9" t="s">
        <v>70</v>
      </c>
      <c r="I32" s="9" t="s">
        <v>474</v>
      </c>
      <c r="J32" s="9" t="s">
        <v>472</v>
      </c>
      <c r="K32" s="9" t="s">
        <v>473</v>
      </c>
      <c r="L32" s="9"/>
      <c r="M32" s="16"/>
      <c r="N32" s="16"/>
      <c r="O32" s="22" t="s">
        <v>85</v>
      </c>
    </row>
    <row r="33" spans="1:15" ht="48" customHeight="1">
      <c r="A33" s="9" t="s">
        <v>183</v>
      </c>
      <c r="B33" s="9" t="s">
        <v>3</v>
      </c>
      <c r="C33" s="30" t="s">
        <v>26</v>
      </c>
      <c r="D33" s="16" t="s">
        <v>184</v>
      </c>
      <c r="E33" s="16" t="s">
        <v>185</v>
      </c>
      <c r="F33" s="16" t="s">
        <v>186</v>
      </c>
      <c r="G33" s="9" t="s">
        <v>187</v>
      </c>
      <c r="H33" s="9" t="s">
        <v>70</v>
      </c>
      <c r="I33" s="9" t="s">
        <v>474</v>
      </c>
      <c r="J33" s="9" t="s">
        <v>472</v>
      </c>
      <c r="K33" s="9" t="s">
        <v>473</v>
      </c>
      <c r="L33" s="9"/>
      <c r="M33" s="16"/>
      <c r="N33" s="16"/>
      <c r="O33" s="22" t="s">
        <v>85</v>
      </c>
    </row>
    <row r="34" spans="1:15" ht="48" customHeight="1">
      <c r="A34" s="9" t="s">
        <v>188</v>
      </c>
      <c r="B34" s="9" t="s">
        <v>3</v>
      </c>
      <c r="C34" s="30" t="s">
        <v>26</v>
      </c>
      <c r="D34" s="16" t="s">
        <v>189</v>
      </c>
      <c r="E34" s="16" t="s">
        <v>190</v>
      </c>
      <c r="F34" s="16" t="s">
        <v>191</v>
      </c>
      <c r="G34" s="9" t="s">
        <v>174</v>
      </c>
      <c r="H34" s="9" t="s">
        <v>70</v>
      </c>
      <c r="I34" s="9" t="s">
        <v>474</v>
      </c>
      <c r="J34" s="9" t="s">
        <v>472</v>
      </c>
      <c r="K34" s="9" t="s">
        <v>473</v>
      </c>
      <c r="L34" s="9"/>
      <c r="M34" s="16"/>
      <c r="N34" s="16"/>
      <c r="O34" s="22" t="s">
        <v>137</v>
      </c>
    </row>
    <row r="35" spans="1:15" ht="48" customHeight="1">
      <c r="A35" s="17" t="s">
        <v>192</v>
      </c>
      <c r="B35" s="17" t="s">
        <v>3</v>
      </c>
      <c r="C35" s="31" t="s">
        <v>27</v>
      </c>
      <c r="D35" s="19" t="s">
        <v>193</v>
      </c>
      <c r="E35" s="19" t="s">
        <v>194</v>
      </c>
      <c r="F35" s="19" t="s">
        <v>195</v>
      </c>
      <c r="G35" s="17" t="s">
        <v>196</v>
      </c>
      <c r="H35" s="17" t="s">
        <v>70</v>
      </c>
      <c r="I35" s="17" t="s">
        <v>474</v>
      </c>
      <c r="J35" s="17" t="s">
        <v>472</v>
      </c>
      <c r="K35" s="17" t="s">
        <v>473</v>
      </c>
      <c r="L35" s="17"/>
      <c r="M35" s="19"/>
      <c r="N35" s="19"/>
      <c r="O35" s="20" t="s">
        <v>64</v>
      </c>
    </row>
    <row r="36" spans="1:15" ht="48" customHeight="1">
      <c r="A36" s="9" t="s">
        <v>197</v>
      </c>
      <c r="B36" s="9" t="s">
        <v>3</v>
      </c>
      <c r="C36" s="32" t="s">
        <v>27</v>
      </c>
      <c r="D36" s="16" t="s">
        <v>198</v>
      </c>
      <c r="E36" s="16" t="s">
        <v>199</v>
      </c>
      <c r="F36" s="16" t="s">
        <v>200</v>
      </c>
      <c r="G36" s="9" t="s">
        <v>201</v>
      </c>
      <c r="H36" s="9" t="s">
        <v>70</v>
      </c>
      <c r="I36" s="9" t="s">
        <v>474</v>
      </c>
      <c r="J36" s="9" t="s">
        <v>472</v>
      </c>
      <c r="K36" s="9" t="s">
        <v>473</v>
      </c>
      <c r="L36" s="9"/>
      <c r="M36" s="16"/>
      <c r="N36" s="16"/>
      <c r="O36" s="22" t="s">
        <v>64</v>
      </c>
    </row>
    <row r="37" spans="1:15" ht="48" customHeight="1">
      <c r="A37" s="9" t="s">
        <v>202</v>
      </c>
      <c r="B37" s="9" t="s">
        <v>3</v>
      </c>
      <c r="C37" s="32" t="s">
        <v>27</v>
      </c>
      <c r="D37" s="16" t="s">
        <v>203</v>
      </c>
      <c r="E37" s="16" t="s">
        <v>204</v>
      </c>
      <c r="F37" s="16" t="s">
        <v>205</v>
      </c>
      <c r="G37" s="9" t="s">
        <v>206</v>
      </c>
      <c r="H37" s="9" t="s">
        <v>70</v>
      </c>
      <c r="I37" s="9" t="s">
        <v>474</v>
      </c>
      <c r="J37" s="9" t="s">
        <v>472</v>
      </c>
      <c r="K37" s="9" t="s">
        <v>473</v>
      </c>
      <c r="L37" s="9"/>
      <c r="M37" s="16"/>
      <c r="N37" s="16"/>
      <c r="O37" s="22" t="s">
        <v>64</v>
      </c>
    </row>
    <row r="38" spans="1:15" ht="48" customHeight="1">
      <c r="A38" s="9" t="s">
        <v>207</v>
      </c>
      <c r="B38" s="9" t="s">
        <v>3</v>
      </c>
      <c r="C38" s="32" t="s">
        <v>27</v>
      </c>
      <c r="D38" s="16" t="s">
        <v>208</v>
      </c>
      <c r="E38" s="16" t="s">
        <v>209</v>
      </c>
      <c r="F38" s="16" t="s">
        <v>210</v>
      </c>
      <c r="G38" s="9" t="s">
        <v>211</v>
      </c>
      <c r="H38" s="9" t="s">
        <v>54</v>
      </c>
      <c r="I38" s="9" t="s">
        <v>474</v>
      </c>
      <c r="J38" s="9" t="s">
        <v>472</v>
      </c>
      <c r="K38" s="9" t="s">
        <v>473</v>
      </c>
      <c r="L38" s="9"/>
      <c r="M38" s="16"/>
      <c r="N38" s="16"/>
      <c r="O38" s="22" t="s">
        <v>64</v>
      </c>
    </row>
    <row r="39" spans="1:15" ht="48" customHeight="1">
      <c r="A39" s="9" t="s">
        <v>212</v>
      </c>
      <c r="B39" s="9" t="s">
        <v>3</v>
      </c>
      <c r="C39" s="32" t="s">
        <v>27</v>
      </c>
      <c r="D39" s="16" t="s">
        <v>213</v>
      </c>
      <c r="E39" s="16" t="s">
        <v>214</v>
      </c>
      <c r="F39" s="16" t="s">
        <v>215</v>
      </c>
      <c r="G39" s="9" t="s">
        <v>216</v>
      </c>
      <c r="H39" s="9" t="s">
        <v>54</v>
      </c>
      <c r="I39" s="9" t="s">
        <v>474</v>
      </c>
      <c r="J39" s="9" t="s">
        <v>472</v>
      </c>
      <c r="K39" s="9" t="s">
        <v>473</v>
      </c>
      <c r="L39" s="9"/>
      <c r="M39" s="16"/>
      <c r="N39" s="16"/>
      <c r="O39" s="22" t="s">
        <v>137</v>
      </c>
    </row>
    <row r="40" spans="1:15" ht="48" customHeight="1">
      <c r="A40" s="9" t="s">
        <v>217</v>
      </c>
      <c r="B40" s="9" t="s">
        <v>3</v>
      </c>
      <c r="C40" s="32" t="s">
        <v>27</v>
      </c>
      <c r="D40" s="16" t="s">
        <v>218</v>
      </c>
      <c r="E40" s="16" t="s">
        <v>219</v>
      </c>
      <c r="F40" s="16" t="s">
        <v>220</v>
      </c>
      <c r="G40" s="9" t="s">
        <v>221</v>
      </c>
      <c r="H40" s="9" t="s">
        <v>70</v>
      </c>
      <c r="I40" s="9" t="s">
        <v>474</v>
      </c>
      <c r="J40" s="9" t="s">
        <v>472</v>
      </c>
      <c r="K40" s="9" t="s">
        <v>473</v>
      </c>
      <c r="L40" s="9"/>
      <c r="M40" s="16"/>
      <c r="N40" s="16"/>
      <c r="O40" s="22" t="s">
        <v>85</v>
      </c>
    </row>
    <row r="41" spans="1:15" ht="48" customHeight="1">
      <c r="A41" s="17" t="s">
        <v>222</v>
      </c>
      <c r="B41" s="17" t="s">
        <v>3</v>
      </c>
      <c r="C41" s="23" t="s">
        <v>28</v>
      </c>
      <c r="D41" s="19" t="s">
        <v>223</v>
      </c>
      <c r="E41" s="19" t="s">
        <v>224</v>
      </c>
      <c r="F41" s="19" t="s">
        <v>225</v>
      </c>
      <c r="G41" s="17" t="s">
        <v>226</v>
      </c>
      <c r="H41" s="17" t="s">
        <v>227</v>
      </c>
      <c r="I41" s="17" t="s">
        <v>474</v>
      </c>
      <c r="J41" s="17" t="s">
        <v>472</v>
      </c>
      <c r="K41" s="17" t="s">
        <v>473</v>
      </c>
      <c r="L41" s="17"/>
      <c r="M41" s="19"/>
      <c r="N41" s="19"/>
      <c r="O41" s="20" t="s">
        <v>55</v>
      </c>
    </row>
    <row r="42" spans="1:15" ht="48" customHeight="1">
      <c r="A42" s="9" t="s">
        <v>228</v>
      </c>
      <c r="B42" s="9" t="s">
        <v>3</v>
      </c>
      <c r="C42" s="24" t="s">
        <v>28</v>
      </c>
      <c r="D42" s="16" t="s">
        <v>229</v>
      </c>
      <c r="E42" s="16" t="s">
        <v>230</v>
      </c>
      <c r="F42" s="16" t="s">
        <v>231</v>
      </c>
      <c r="G42" s="9" t="s">
        <v>226</v>
      </c>
      <c r="H42" s="9" t="s">
        <v>227</v>
      </c>
      <c r="I42" s="9" t="s">
        <v>474</v>
      </c>
      <c r="J42" s="9" t="s">
        <v>472</v>
      </c>
      <c r="K42" s="9" t="s">
        <v>473</v>
      </c>
      <c r="L42" s="9"/>
      <c r="M42" s="16"/>
      <c r="N42" s="16"/>
      <c r="O42" s="22" t="s">
        <v>55</v>
      </c>
    </row>
    <row r="43" spans="1:15" ht="48" customHeight="1">
      <c r="A43" s="17" t="s">
        <v>232</v>
      </c>
      <c r="B43" s="17" t="s">
        <v>3</v>
      </c>
      <c r="C43" s="27" t="s">
        <v>29</v>
      </c>
      <c r="D43" s="19" t="s">
        <v>233</v>
      </c>
      <c r="E43" s="19" t="s">
        <v>234</v>
      </c>
      <c r="F43" s="19" t="s">
        <v>235</v>
      </c>
      <c r="G43" s="17" t="s">
        <v>236</v>
      </c>
      <c r="H43" s="17" t="s">
        <v>54</v>
      </c>
      <c r="I43" s="17" t="s">
        <v>474</v>
      </c>
      <c r="J43" s="17" t="s">
        <v>472</v>
      </c>
      <c r="K43" s="17" t="s">
        <v>473</v>
      </c>
      <c r="L43" s="17"/>
      <c r="M43" s="19"/>
      <c r="N43" s="19"/>
      <c r="O43" s="20" t="s">
        <v>85</v>
      </c>
    </row>
    <row r="44" spans="1:15" ht="48" customHeight="1">
      <c r="A44" s="9" t="s">
        <v>237</v>
      </c>
      <c r="B44" s="9" t="s">
        <v>3</v>
      </c>
      <c r="C44" s="28" t="s">
        <v>29</v>
      </c>
      <c r="D44" s="16" t="s">
        <v>238</v>
      </c>
      <c r="E44" s="16" t="s">
        <v>239</v>
      </c>
      <c r="F44" s="16" t="s">
        <v>240</v>
      </c>
      <c r="G44" s="9" t="s">
        <v>53</v>
      </c>
      <c r="H44" s="9" t="s">
        <v>54</v>
      </c>
      <c r="I44" s="9" t="s">
        <v>471</v>
      </c>
      <c r="J44" s="9" t="s">
        <v>472</v>
      </c>
      <c r="K44" s="9" t="s">
        <v>473</v>
      </c>
      <c r="L44" s="9"/>
      <c r="M44" s="16"/>
      <c r="N44" s="16"/>
      <c r="O44" s="22" t="s">
        <v>85</v>
      </c>
    </row>
    <row r="45" spans="1:15" ht="48" customHeight="1">
      <c r="A45" s="9" t="s">
        <v>241</v>
      </c>
      <c r="B45" s="9" t="s">
        <v>3</v>
      </c>
      <c r="C45" s="28" t="s">
        <v>29</v>
      </c>
      <c r="D45" s="16" t="s">
        <v>242</v>
      </c>
      <c r="E45" s="16" t="s">
        <v>243</v>
      </c>
      <c r="F45" s="16" t="s">
        <v>244</v>
      </c>
      <c r="G45" s="9" t="s">
        <v>245</v>
      </c>
      <c r="H45" s="9" t="s">
        <v>70</v>
      </c>
      <c r="I45" s="9" t="s">
        <v>474</v>
      </c>
      <c r="J45" s="9" t="s">
        <v>472</v>
      </c>
      <c r="K45" s="9" t="s">
        <v>473</v>
      </c>
      <c r="L45" s="9"/>
      <c r="M45" s="16"/>
      <c r="N45" s="16"/>
      <c r="O45" s="22" t="s">
        <v>64</v>
      </c>
    </row>
    <row r="46" spans="1:15" ht="48" customHeight="1">
      <c r="A46" s="9" t="s">
        <v>246</v>
      </c>
      <c r="B46" s="9" t="s">
        <v>3</v>
      </c>
      <c r="C46" s="28" t="s">
        <v>29</v>
      </c>
      <c r="D46" s="16" t="s">
        <v>247</v>
      </c>
      <c r="E46" s="16" t="s">
        <v>248</v>
      </c>
      <c r="F46" s="16" t="s">
        <v>249</v>
      </c>
      <c r="G46" s="9" t="s">
        <v>250</v>
      </c>
      <c r="H46" s="9" t="s">
        <v>70</v>
      </c>
      <c r="I46" s="9" t="s">
        <v>474</v>
      </c>
      <c r="J46" s="9" t="s">
        <v>472</v>
      </c>
      <c r="K46" s="9" t="s">
        <v>473</v>
      </c>
      <c r="L46" s="9"/>
      <c r="M46" s="16"/>
      <c r="N46" s="16"/>
      <c r="O46" s="22" t="s">
        <v>55</v>
      </c>
    </row>
    <row r="47" spans="1:15" ht="48" customHeight="1">
      <c r="A47" s="9" t="s">
        <v>251</v>
      </c>
      <c r="B47" s="9" t="s">
        <v>3</v>
      </c>
      <c r="C47" s="28" t="s">
        <v>29</v>
      </c>
      <c r="D47" s="16" t="s">
        <v>252</v>
      </c>
      <c r="E47" s="16" t="s">
        <v>253</v>
      </c>
      <c r="F47" s="16" t="s">
        <v>254</v>
      </c>
      <c r="G47" s="9" t="s">
        <v>255</v>
      </c>
      <c r="H47" s="9" t="s">
        <v>70</v>
      </c>
      <c r="I47" s="9" t="s">
        <v>474</v>
      </c>
      <c r="J47" s="9" t="s">
        <v>472</v>
      </c>
      <c r="K47" s="9" t="s">
        <v>473</v>
      </c>
      <c r="L47" s="9"/>
      <c r="M47" s="16"/>
      <c r="N47" s="16"/>
      <c r="O47" s="22" t="s">
        <v>137</v>
      </c>
    </row>
    <row r="48" spans="1:15" ht="48" customHeight="1">
      <c r="A48" s="17" t="s">
        <v>258</v>
      </c>
      <c r="B48" s="17" t="s">
        <v>4</v>
      </c>
      <c r="C48" s="18" t="s">
        <v>19</v>
      </c>
      <c r="D48" s="19" t="s">
        <v>259</v>
      </c>
      <c r="E48" s="19" t="s">
        <v>260</v>
      </c>
      <c r="F48" s="19" t="s">
        <v>261</v>
      </c>
      <c r="G48" s="17" t="s">
        <v>53</v>
      </c>
      <c r="H48" s="17" t="s">
        <v>54</v>
      </c>
      <c r="I48" s="17" t="s">
        <v>471</v>
      </c>
      <c r="J48" s="17" t="s">
        <v>472</v>
      </c>
      <c r="K48" s="17" t="s">
        <v>473</v>
      </c>
      <c r="L48" s="17"/>
      <c r="M48" s="19"/>
      <c r="N48" s="19"/>
      <c r="O48" s="20" t="s">
        <v>55</v>
      </c>
    </row>
    <row r="49" spans="1:15" ht="48" customHeight="1">
      <c r="A49" s="9" t="s">
        <v>262</v>
      </c>
      <c r="B49" s="9" t="s">
        <v>4</v>
      </c>
      <c r="C49" s="21" t="s">
        <v>19</v>
      </c>
      <c r="D49" s="16" t="s">
        <v>263</v>
      </c>
      <c r="E49" s="16" t="s">
        <v>264</v>
      </c>
      <c r="F49" s="16" t="s">
        <v>265</v>
      </c>
      <c r="G49" s="9" t="s">
        <v>53</v>
      </c>
      <c r="H49" s="9" t="s">
        <v>54</v>
      </c>
      <c r="I49" s="9" t="s">
        <v>471</v>
      </c>
      <c r="J49" s="9" t="s">
        <v>472</v>
      </c>
      <c r="K49" s="9" t="s">
        <v>473</v>
      </c>
      <c r="L49" s="9"/>
      <c r="M49" s="16"/>
      <c r="N49" s="16"/>
      <c r="O49" s="22" t="s">
        <v>55</v>
      </c>
    </row>
    <row r="50" spans="1:15" ht="48" customHeight="1">
      <c r="A50" s="9" t="s">
        <v>266</v>
      </c>
      <c r="B50" s="9" t="s">
        <v>4</v>
      </c>
      <c r="C50" s="21" t="s">
        <v>19</v>
      </c>
      <c r="D50" s="16" t="s">
        <v>267</v>
      </c>
      <c r="E50" s="16" t="s">
        <v>268</v>
      </c>
      <c r="F50" s="16" t="s">
        <v>269</v>
      </c>
      <c r="G50" s="9" t="s">
        <v>53</v>
      </c>
      <c r="H50" s="9" t="s">
        <v>54</v>
      </c>
      <c r="I50" s="9" t="s">
        <v>471</v>
      </c>
      <c r="J50" s="9" t="s">
        <v>472</v>
      </c>
      <c r="K50" s="9" t="s">
        <v>473</v>
      </c>
      <c r="L50" s="9"/>
      <c r="M50" s="16"/>
      <c r="N50" s="16"/>
      <c r="O50" s="22" t="s">
        <v>64</v>
      </c>
    </row>
    <row r="51" spans="1:15" ht="48" customHeight="1">
      <c r="A51" s="9" t="s">
        <v>270</v>
      </c>
      <c r="B51" s="9" t="s">
        <v>4</v>
      </c>
      <c r="C51" s="21" t="s">
        <v>19</v>
      </c>
      <c r="D51" s="16" t="s">
        <v>271</v>
      </c>
      <c r="E51" s="16" t="s">
        <v>272</v>
      </c>
      <c r="F51" s="16" t="s">
        <v>273</v>
      </c>
      <c r="G51" s="9" t="s">
        <v>69</v>
      </c>
      <c r="H51" s="9" t="s">
        <v>70</v>
      </c>
      <c r="I51" s="9" t="s">
        <v>474</v>
      </c>
      <c r="J51" s="9" t="s">
        <v>472</v>
      </c>
      <c r="K51" s="9" t="s">
        <v>473</v>
      </c>
      <c r="L51" s="9"/>
      <c r="M51" s="16"/>
      <c r="N51" s="16"/>
      <c r="O51" s="22" t="s">
        <v>55</v>
      </c>
    </row>
    <row r="52" spans="1:15" ht="48" customHeight="1">
      <c r="A52" s="9" t="s">
        <v>274</v>
      </c>
      <c r="B52" s="9" t="s">
        <v>4</v>
      </c>
      <c r="C52" s="21" t="s">
        <v>19</v>
      </c>
      <c r="D52" s="16" t="s">
        <v>72</v>
      </c>
      <c r="E52" s="16" t="s">
        <v>275</v>
      </c>
      <c r="F52" s="16" t="s">
        <v>276</v>
      </c>
      <c r="G52" s="9" t="s">
        <v>75</v>
      </c>
      <c r="H52" s="9" t="s">
        <v>70</v>
      </c>
      <c r="I52" s="9" t="s">
        <v>474</v>
      </c>
      <c r="J52" s="9" t="s">
        <v>472</v>
      </c>
      <c r="K52" s="9" t="s">
        <v>473</v>
      </c>
      <c r="L52" s="9"/>
      <c r="M52" s="16"/>
      <c r="N52" s="16"/>
      <c r="O52" s="22" t="s">
        <v>64</v>
      </c>
    </row>
    <row r="53" spans="1:15" ht="48" customHeight="1">
      <c r="A53" s="9" t="s">
        <v>277</v>
      </c>
      <c r="B53" s="9" t="s">
        <v>4</v>
      </c>
      <c r="C53" s="21" t="s">
        <v>19</v>
      </c>
      <c r="D53" s="16" t="s">
        <v>278</v>
      </c>
      <c r="E53" s="16" t="s">
        <v>279</v>
      </c>
      <c r="F53" s="16" t="s">
        <v>280</v>
      </c>
      <c r="G53" s="9" t="s">
        <v>80</v>
      </c>
      <c r="H53" s="9" t="s">
        <v>70</v>
      </c>
      <c r="I53" s="9" t="s">
        <v>474</v>
      </c>
      <c r="J53" s="9" t="s">
        <v>472</v>
      </c>
      <c r="K53" s="9" t="s">
        <v>473</v>
      </c>
      <c r="L53" s="9"/>
      <c r="M53" s="16"/>
      <c r="N53" s="16"/>
      <c r="O53" s="22" t="s">
        <v>55</v>
      </c>
    </row>
    <row r="54" spans="1:15" ht="48" customHeight="1">
      <c r="A54" s="9" t="s">
        <v>281</v>
      </c>
      <c r="B54" s="9" t="s">
        <v>4</v>
      </c>
      <c r="C54" s="21" t="s">
        <v>19</v>
      </c>
      <c r="D54" s="16" t="s">
        <v>282</v>
      </c>
      <c r="E54" s="16" t="s">
        <v>283</v>
      </c>
      <c r="F54" s="16" t="s">
        <v>284</v>
      </c>
      <c r="G54" s="9" t="s">
        <v>53</v>
      </c>
      <c r="H54" s="9" t="s">
        <v>70</v>
      </c>
      <c r="I54" s="9" t="s">
        <v>471</v>
      </c>
      <c r="J54" s="9" t="s">
        <v>472</v>
      </c>
      <c r="K54" s="9" t="s">
        <v>473</v>
      </c>
      <c r="L54" s="9"/>
      <c r="M54" s="16"/>
      <c r="N54" s="16"/>
      <c r="O54" s="22" t="s">
        <v>85</v>
      </c>
    </row>
    <row r="55" spans="1:15" ht="48" customHeight="1">
      <c r="A55" s="17" t="s">
        <v>285</v>
      </c>
      <c r="B55" s="17" t="s">
        <v>4</v>
      </c>
      <c r="C55" s="23" t="s">
        <v>21</v>
      </c>
      <c r="D55" s="19" t="s">
        <v>286</v>
      </c>
      <c r="E55" s="19" t="s">
        <v>287</v>
      </c>
      <c r="F55" s="19" t="s">
        <v>288</v>
      </c>
      <c r="G55" s="17" t="s">
        <v>53</v>
      </c>
      <c r="H55" s="17" t="s">
        <v>54</v>
      </c>
      <c r="I55" s="17" t="s">
        <v>471</v>
      </c>
      <c r="J55" s="17" t="s">
        <v>472</v>
      </c>
      <c r="K55" s="17" t="s">
        <v>473</v>
      </c>
      <c r="L55" s="17"/>
      <c r="M55" s="19"/>
      <c r="N55" s="19"/>
      <c r="O55" s="20" t="s">
        <v>64</v>
      </c>
    </row>
    <row r="56" spans="1:15" ht="48" customHeight="1">
      <c r="A56" s="9" t="s">
        <v>289</v>
      </c>
      <c r="B56" s="9" t="s">
        <v>4</v>
      </c>
      <c r="C56" s="24" t="s">
        <v>21</v>
      </c>
      <c r="D56" s="16" t="s">
        <v>290</v>
      </c>
      <c r="E56" s="16" t="s">
        <v>291</v>
      </c>
      <c r="F56" s="16" t="s">
        <v>292</v>
      </c>
      <c r="G56" s="9" t="s">
        <v>53</v>
      </c>
      <c r="H56" s="9" t="s">
        <v>54</v>
      </c>
      <c r="I56" s="9" t="s">
        <v>471</v>
      </c>
      <c r="J56" s="9" t="s">
        <v>472</v>
      </c>
      <c r="K56" s="9" t="s">
        <v>473</v>
      </c>
      <c r="L56" s="9"/>
      <c r="M56" s="16"/>
      <c r="N56" s="16"/>
      <c r="O56" s="22" t="s">
        <v>64</v>
      </c>
    </row>
    <row r="57" spans="1:15" ht="48" customHeight="1">
      <c r="A57" s="9" t="s">
        <v>293</v>
      </c>
      <c r="B57" s="9" t="s">
        <v>4</v>
      </c>
      <c r="C57" s="24" t="s">
        <v>21</v>
      </c>
      <c r="D57" s="16" t="s">
        <v>294</v>
      </c>
      <c r="E57" s="16" t="s">
        <v>295</v>
      </c>
      <c r="F57" s="16" t="s">
        <v>296</v>
      </c>
      <c r="G57" s="9" t="s">
        <v>94</v>
      </c>
      <c r="H57" s="9" t="s">
        <v>54</v>
      </c>
      <c r="I57" s="9" t="s">
        <v>474</v>
      </c>
      <c r="J57" s="9" t="s">
        <v>472</v>
      </c>
      <c r="K57" s="9" t="s">
        <v>473</v>
      </c>
      <c r="L57" s="9"/>
      <c r="M57" s="16"/>
      <c r="N57" s="16"/>
      <c r="O57" s="22" t="s">
        <v>64</v>
      </c>
    </row>
    <row r="58" spans="1:15" ht="48" customHeight="1">
      <c r="A58" s="9" t="s">
        <v>297</v>
      </c>
      <c r="B58" s="9" t="s">
        <v>4</v>
      </c>
      <c r="C58" s="24" t="s">
        <v>21</v>
      </c>
      <c r="D58" s="16" t="s">
        <v>298</v>
      </c>
      <c r="E58" s="16" t="s">
        <v>299</v>
      </c>
      <c r="F58" s="16" t="s">
        <v>300</v>
      </c>
      <c r="G58" s="9" t="s">
        <v>53</v>
      </c>
      <c r="H58" s="9" t="s">
        <v>54</v>
      </c>
      <c r="I58" s="9" t="s">
        <v>471</v>
      </c>
      <c r="J58" s="9" t="s">
        <v>472</v>
      </c>
      <c r="K58" s="9" t="s">
        <v>473</v>
      </c>
      <c r="L58" s="9"/>
      <c r="M58" s="16"/>
      <c r="N58" s="16"/>
      <c r="O58" s="22" t="s">
        <v>85</v>
      </c>
    </row>
    <row r="59" spans="1:15" ht="48" customHeight="1">
      <c r="A59" s="9" t="s">
        <v>301</v>
      </c>
      <c r="B59" s="9" t="s">
        <v>4</v>
      </c>
      <c r="C59" s="24" t="s">
        <v>21</v>
      </c>
      <c r="D59" s="16" t="s">
        <v>302</v>
      </c>
      <c r="E59" s="16" t="s">
        <v>303</v>
      </c>
      <c r="F59" s="16" t="s">
        <v>304</v>
      </c>
      <c r="G59" s="9" t="s">
        <v>53</v>
      </c>
      <c r="H59" s="9" t="s">
        <v>70</v>
      </c>
      <c r="I59" s="9" t="s">
        <v>471</v>
      </c>
      <c r="J59" s="9" t="s">
        <v>472</v>
      </c>
      <c r="K59" s="9" t="s">
        <v>473</v>
      </c>
      <c r="L59" s="9"/>
      <c r="M59" s="16"/>
      <c r="N59" s="16"/>
      <c r="O59" s="22" t="s">
        <v>85</v>
      </c>
    </row>
    <row r="60" spans="1:15" ht="48" customHeight="1">
      <c r="A60" s="9" t="s">
        <v>305</v>
      </c>
      <c r="B60" s="9" t="s">
        <v>4</v>
      </c>
      <c r="C60" s="24" t="s">
        <v>21</v>
      </c>
      <c r="D60" s="16" t="s">
        <v>306</v>
      </c>
      <c r="E60" s="16" t="s">
        <v>307</v>
      </c>
      <c r="F60" s="16" t="s">
        <v>308</v>
      </c>
      <c r="G60" s="9" t="s">
        <v>53</v>
      </c>
      <c r="H60" s="9" t="s">
        <v>70</v>
      </c>
      <c r="I60" s="9" t="s">
        <v>471</v>
      </c>
      <c r="J60" s="9" t="s">
        <v>472</v>
      </c>
      <c r="K60" s="9" t="s">
        <v>473</v>
      </c>
      <c r="L60" s="9"/>
      <c r="M60" s="16"/>
      <c r="N60" s="16"/>
      <c r="O60" s="22" t="s">
        <v>137</v>
      </c>
    </row>
    <row r="61" spans="1:15" ht="48" customHeight="1">
      <c r="A61" s="9" t="s">
        <v>309</v>
      </c>
      <c r="B61" s="9" t="s">
        <v>4</v>
      </c>
      <c r="C61" s="24" t="s">
        <v>21</v>
      </c>
      <c r="D61" s="16" t="s">
        <v>310</v>
      </c>
      <c r="E61" s="16" t="s">
        <v>311</v>
      </c>
      <c r="F61" s="16" t="s">
        <v>312</v>
      </c>
      <c r="G61" s="9" t="s">
        <v>313</v>
      </c>
      <c r="H61" s="9" t="s">
        <v>70</v>
      </c>
      <c r="I61" s="9" t="s">
        <v>474</v>
      </c>
      <c r="J61" s="9" t="s">
        <v>472</v>
      </c>
      <c r="K61" s="9" t="s">
        <v>473</v>
      </c>
      <c r="L61" s="9"/>
      <c r="M61" s="16"/>
      <c r="N61" s="16"/>
      <c r="O61" s="22" t="s">
        <v>55</v>
      </c>
    </row>
    <row r="62" spans="1:15" ht="48" customHeight="1">
      <c r="A62" s="9" t="s">
        <v>314</v>
      </c>
      <c r="B62" s="9" t="s">
        <v>4</v>
      </c>
      <c r="C62" s="24" t="s">
        <v>21</v>
      </c>
      <c r="D62" s="16" t="s">
        <v>315</v>
      </c>
      <c r="E62" s="16" t="s">
        <v>316</v>
      </c>
      <c r="F62" s="16" t="s">
        <v>317</v>
      </c>
      <c r="G62" s="9" t="s">
        <v>53</v>
      </c>
      <c r="H62" s="9" t="s">
        <v>70</v>
      </c>
      <c r="I62" s="9" t="s">
        <v>471</v>
      </c>
      <c r="J62" s="9" t="s">
        <v>472</v>
      </c>
      <c r="K62" s="9" t="s">
        <v>473</v>
      </c>
      <c r="L62" s="9"/>
      <c r="M62" s="16"/>
      <c r="N62" s="16"/>
      <c r="O62" s="22" t="s">
        <v>137</v>
      </c>
    </row>
    <row r="63" spans="1:15" ht="48" customHeight="1">
      <c r="A63" s="17" t="s">
        <v>318</v>
      </c>
      <c r="B63" s="17" t="s">
        <v>4</v>
      </c>
      <c r="C63" s="25" t="s">
        <v>23</v>
      </c>
      <c r="D63" s="19" t="s">
        <v>319</v>
      </c>
      <c r="E63" s="19" t="s">
        <v>320</v>
      </c>
      <c r="F63" s="19" t="s">
        <v>321</v>
      </c>
      <c r="G63" s="17" t="s">
        <v>99</v>
      </c>
      <c r="H63" s="17" t="s">
        <v>54</v>
      </c>
      <c r="I63" s="17" t="s">
        <v>474</v>
      </c>
      <c r="J63" s="17" t="s">
        <v>472</v>
      </c>
      <c r="K63" s="17" t="s">
        <v>473</v>
      </c>
      <c r="L63" s="17"/>
      <c r="M63" s="19"/>
      <c r="N63" s="19"/>
      <c r="O63" s="20" t="s">
        <v>55</v>
      </c>
    </row>
    <row r="64" spans="1:15" ht="48" customHeight="1">
      <c r="A64" s="9" t="s">
        <v>322</v>
      </c>
      <c r="B64" s="9" t="s">
        <v>4</v>
      </c>
      <c r="C64" s="26" t="s">
        <v>23</v>
      </c>
      <c r="D64" s="16" t="s">
        <v>323</v>
      </c>
      <c r="E64" s="16" t="s">
        <v>324</v>
      </c>
      <c r="F64" s="16" t="s">
        <v>325</v>
      </c>
      <c r="G64" s="9" t="s">
        <v>99</v>
      </c>
      <c r="H64" s="9" t="s">
        <v>54</v>
      </c>
      <c r="I64" s="9" t="s">
        <v>474</v>
      </c>
      <c r="J64" s="9" t="s">
        <v>472</v>
      </c>
      <c r="K64" s="9" t="s">
        <v>473</v>
      </c>
      <c r="L64" s="9"/>
      <c r="M64" s="16"/>
      <c r="N64" s="16"/>
      <c r="O64" s="22" t="s">
        <v>55</v>
      </c>
    </row>
    <row r="65" spans="1:15" ht="48" customHeight="1">
      <c r="A65" s="9" t="s">
        <v>326</v>
      </c>
      <c r="B65" s="9" t="s">
        <v>4</v>
      </c>
      <c r="C65" s="26" t="s">
        <v>23</v>
      </c>
      <c r="D65" s="16" t="s">
        <v>327</v>
      </c>
      <c r="E65" s="16" t="s">
        <v>328</v>
      </c>
      <c r="F65" s="16" t="s">
        <v>329</v>
      </c>
      <c r="G65" s="9" t="s">
        <v>108</v>
      </c>
      <c r="H65" s="9" t="s">
        <v>54</v>
      </c>
      <c r="I65" s="9" t="s">
        <v>474</v>
      </c>
      <c r="J65" s="9" t="s">
        <v>472</v>
      </c>
      <c r="K65" s="9" t="s">
        <v>473</v>
      </c>
      <c r="L65" s="9"/>
      <c r="M65" s="16"/>
      <c r="N65" s="16"/>
      <c r="O65" s="22" t="s">
        <v>55</v>
      </c>
    </row>
    <row r="66" spans="1:15" ht="48" customHeight="1">
      <c r="A66" s="9" t="s">
        <v>330</v>
      </c>
      <c r="B66" s="9" t="s">
        <v>4</v>
      </c>
      <c r="C66" s="26" t="s">
        <v>23</v>
      </c>
      <c r="D66" s="16" t="s">
        <v>331</v>
      </c>
      <c r="E66" s="16" t="s">
        <v>332</v>
      </c>
      <c r="F66" s="16" t="s">
        <v>333</v>
      </c>
      <c r="G66" s="9" t="s">
        <v>113</v>
      </c>
      <c r="H66" s="9" t="s">
        <v>54</v>
      </c>
      <c r="I66" s="9" t="s">
        <v>474</v>
      </c>
      <c r="J66" s="9" t="s">
        <v>472</v>
      </c>
      <c r="K66" s="9" t="s">
        <v>473</v>
      </c>
      <c r="L66" s="9"/>
      <c r="M66" s="16"/>
      <c r="N66" s="16"/>
      <c r="O66" s="22" t="s">
        <v>55</v>
      </c>
    </row>
    <row r="67" spans="1:15" ht="48" customHeight="1">
      <c r="A67" s="9" t="s">
        <v>334</v>
      </c>
      <c r="B67" s="9" t="s">
        <v>4</v>
      </c>
      <c r="C67" s="26" t="s">
        <v>23</v>
      </c>
      <c r="D67" s="16" t="s">
        <v>335</v>
      </c>
      <c r="E67" s="16" t="s">
        <v>336</v>
      </c>
      <c r="F67" s="16" t="s">
        <v>337</v>
      </c>
      <c r="G67" s="9" t="s">
        <v>113</v>
      </c>
      <c r="H67" s="9" t="s">
        <v>54</v>
      </c>
      <c r="I67" s="9" t="s">
        <v>474</v>
      </c>
      <c r="J67" s="9" t="s">
        <v>472</v>
      </c>
      <c r="K67" s="9" t="s">
        <v>473</v>
      </c>
      <c r="L67" s="9"/>
      <c r="M67" s="16"/>
      <c r="N67" s="16"/>
      <c r="O67" s="22" t="s">
        <v>55</v>
      </c>
    </row>
    <row r="68" spans="1:15" ht="48" customHeight="1">
      <c r="A68" s="9" t="s">
        <v>338</v>
      </c>
      <c r="B68" s="9" t="s">
        <v>4</v>
      </c>
      <c r="C68" s="26" t="s">
        <v>23</v>
      </c>
      <c r="D68" s="16" t="s">
        <v>339</v>
      </c>
      <c r="E68" s="16" t="s">
        <v>340</v>
      </c>
      <c r="F68" s="16" t="s">
        <v>341</v>
      </c>
      <c r="G68" s="9" t="s">
        <v>122</v>
      </c>
      <c r="H68" s="9" t="s">
        <v>54</v>
      </c>
      <c r="I68" s="9" t="s">
        <v>474</v>
      </c>
      <c r="J68" s="9" t="s">
        <v>472</v>
      </c>
      <c r="K68" s="9" t="s">
        <v>473</v>
      </c>
      <c r="L68" s="9"/>
      <c r="M68" s="16"/>
      <c r="N68" s="16"/>
      <c r="O68" s="22" t="s">
        <v>55</v>
      </c>
    </row>
    <row r="69" spans="1:15" ht="48" customHeight="1">
      <c r="A69" s="9" t="s">
        <v>342</v>
      </c>
      <c r="B69" s="9" t="s">
        <v>4</v>
      </c>
      <c r="C69" s="26" t="s">
        <v>23</v>
      </c>
      <c r="D69" s="16" t="s">
        <v>343</v>
      </c>
      <c r="E69" s="16" t="s">
        <v>344</v>
      </c>
      <c r="F69" s="16" t="s">
        <v>345</v>
      </c>
      <c r="G69" s="9" t="s">
        <v>108</v>
      </c>
      <c r="H69" s="9" t="s">
        <v>70</v>
      </c>
      <c r="I69" s="9" t="s">
        <v>474</v>
      </c>
      <c r="J69" s="9" t="s">
        <v>472</v>
      </c>
      <c r="K69" s="9" t="s">
        <v>473</v>
      </c>
      <c r="L69" s="9"/>
      <c r="M69" s="16"/>
      <c r="N69" s="16"/>
      <c r="O69" s="22" t="s">
        <v>55</v>
      </c>
    </row>
    <row r="70" spans="1:15" ht="48" customHeight="1">
      <c r="A70" s="9" t="s">
        <v>346</v>
      </c>
      <c r="B70" s="9" t="s">
        <v>4</v>
      </c>
      <c r="C70" s="26" t="s">
        <v>23</v>
      </c>
      <c r="D70" s="16" t="s">
        <v>347</v>
      </c>
      <c r="E70" s="16" t="s">
        <v>348</v>
      </c>
      <c r="F70" s="16" t="s">
        <v>349</v>
      </c>
      <c r="G70" s="9" t="s">
        <v>108</v>
      </c>
      <c r="H70" s="9" t="s">
        <v>54</v>
      </c>
      <c r="I70" s="9" t="s">
        <v>474</v>
      </c>
      <c r="J70" s="9" t="s">
        <v>472</v>
      </c>
      <c r="K70" s="9" t="s">
        <v>473</v>
      </c>
      <c r="L70" s="9"/>
      <c r="M70" s="16"/>
      <c r="N70" s="16"/>
      <c r="O70" s="22" t="s">
        <v>55</v>
      </c>
    </row>
    <row r="71" spans="1:15" ht="48" customHeight="1">
      <c r="A71" s="9" t="s">
        <v>350</v>
      </c>
      <c r="B71" s="9" t="s">
        <v>4</v>
      </c>
      <c r="C71" s="26" t="s">
        <v>23</v>
      </c>
      <c r="D71" s="16" t="s">
        <v>351</v>
      </c>
      <c r="E71" s="16" t="s">
        <v>352</v>
      </c>
      <c r="F71" s="16" t="s">
        <v>353</v>
      </c>
      <c r="G71" s="9" t="s">
        <v>354</v>
      </c>
      <c r="H71" s="9" t="s">
        <v>54</v>
      </c>
      <c r="I71" s="9" t="s">
        <v>474</v>
      </c>
      <c r="J71" s="9" t="s">
        <v>472</v>
      </c>
      <c r="K71" s="9" t="s">
        <v>473</v>
      </c>
      <c r="L71" s="9"/>
      <c r="M71" s="16"/>
      <c r="N71" s="16"/>
      <c r="O71" s="22" t="s">
        <v>55</v>
      </c>
    </row>
    <row r="72" spans="1:15" ht="48" customHeight="1">
      <c r="A72" s="9" t="s">
        <v>355</v>
      </c>
      <c r="B72" s="9" t="s">
        <v>4</v>
      </c>
      <c r="C72" s="26" t="s">
        <v>23</v>
      </c>
      <c r="D72" s="16" t="s">
        <v>133</v>
      </c>
      <c r="E72" s="16" t="s">
        <v>356</v>
      </c>
      <c r="F72" s="16" t="s">
        <v>357</v>
      </c>
      <c r="G72" s="9" t="s">
        <v>136</v>
      </c>
      <c r="H72" s="9" t="s">
        <v>70</v>
      </c>
      <c r="I72" s="9" t="s">
        <v>474</v>
      </c>
      <c r="J72" s="9" t="s">
        <v>472</v>
      </c>
      <c r="K72" s="9" t="s">
        <v>473</v>
      </c>
      <c r="L72" s="9"/>
      <c r="M72" s="16"/>
      <c r="N72" s="16"/>
      <c r="O72" s="22" t="s">
        <v>137</v>
      </c>
    </row>
    <row r="73" spans="1:15" ht="48" customHeight="1">
      <c r="A73" s="9" t="s">
        <v>358</v>
      </c>
      <c r="B73" s="9" t="s">
        <v>4</v>
      </c>
      <c r="C73" s="26" t="s">
        <v>23</v>
      </c>
      <c r="D73" s="16" t="s">
        <v>359</v>
      </c>
      <c r="E73" s="16" t="s">
        <v>360</v>
      </c>
      <c r="F73" s="16" t="s">
        <v>361</v>
      </c>
      <c r="G73" s="9" t="s">
        <v>131</v>
      </c>
      <c r="H73" s="9" t="s">
        <v>70</v>
      </c>
      <c r="I73" s="9" t="s">
        <v>474</v>
      </c>
      <c r="J73" s="9" t="s">
        <v>472</v>
      </c>
      <c r="K73" s="9" t="s">
        <v>473</v>
      </c>
      <c r="L73" s="9"/>
      <c r="M73" s="16"/>
      <c r="N73" s="16"/>
      <c r="O73" s="22" t="s">
        <v>55</v>
      </c>
    </row>
    <row r="74" spans="1:15" ht="48" customHeight="1">
      <c r="A74" s="9" t="s">
        <v>362</v>
      </c>
      <c r="B74" s="9" t="s">
        <v>4</v>
      </c>
      <c r="C74" s="26" t="s">
        <v>23</v>
      </c>
      <c r="D74" s="16" t="s">
        <v>363</v>
      </c>
      <c r="E74" s="16" t="s">
        <v>364</v>
      </c>
      <c r="F74" s="16" t="s">
        <v>365</v>
      </c>
      <c r="G74" s="9" t="s">
        <v>53</v>
      </c>
      <c r="H74" s="9" t="s">
        <v>70</v>
      </c>
      <c r="I74" s="9" t="s">
        <v>471</v>
      </c>
      <c r="J74" s="9" t="s">
        <v>472</v>
      </c>
      <c r="K74" s="9" t="s">
        <v>473</v>
      </c>
      <c r="L74" s="9"/>
      <c r="M74" s="16"/>
      <c r="N74" s="16"/>
      <c r="O74" s="22" t="s">
        <v>85</v>
      </c>
    </row>
    <row r="75" spans="1:15" ht="48" customHeight="1">
      <c r="A75" s="17" t="s">
        <v>366</v>
      </c>
      <c r="B75" s="17" t="s">
        <v>4</v>
      </c>
      <c r="C75" s="27" t="s">
        <v>25</v>
      </c>
      <c r="D75" s="19" t="s">
        <v>367</v>
      </c>
      <c r="E75" s="19" t="s">
        <v>368</v>
      </c>
      <c r="F75" s="19" t="s">
        <v>369</v>
      </c>
      <c r="G75" s="17" t="s">
        <v>142</v>
      </c>
      <c r="H75" s="17" t="s">
        <v>54</v>
      </c>
      <c r="I75" s="17" t="s">
        <v>474</v>
      </c>
      <c r="J75" s="17" t="s">
        <v>472</v>
      </c>
      <c r="K75" s="17" t="s">
        <v>473</v>
      </c>
      <c r="L75" s="17"/>
      <c r="M75" s="19"/>
      <c r="N75" s="19"/>
      <c r="O75" s="20" t="s">
        <v>55</v>
      </c>
    </row>
    <row r="76" spans="1:15" ht="48" customHeight="1">
      <c r="A76" s="9" t="s">
        <v>370</v>
      </c>
      <c r="B76" s="9" t="s">
        <v>4</v>
      </c>
      <c r="C76" s="28" t="s">
        <v>25</v>
      </c>
      <c r="D76" s="16" t="s">
        <v>371</v>
      </c>
      <c r="E76" s="16" t="s">
        <v>372</v>
      </c>
      <c r="F76" s="16" t="s">
        <v>373</v>
      </c>
      <c r="G76" s="9" t="s">
        <v>142</v>
      </c>
      <c r="H76" s="9" t="s">
        <v>70</v>
      </c>
      <c r="I76" s="9" t="s">
        <v>474</v>
      </c>
      <c r="J76" s="9" t="s">
        <v>472</v>
      </c>
      <c r="K76" s="9" t="s">
        <v>473</v>
      </c>
      <c r="L76" s="9"/>
      <c r="M76" s="16"/>
      <c r="N76" s="16"/>
      <c r="O76" s="22" t="s">
        <v>85</v>
      </c>
    </row>
    <row r="77" spans="1:15" ht="48" customHeight="1">
      <c r="A77" s="9" t="s">
        <v>374</v>
      </c>
      <c r="B77" s="9" t="s">
        <v>4</v>
      </c>
      <c r="C77" s="28" t="s">
        <v>25</v>
      </c>
      <c r="D77" s="16" t="s">
        <v>375</v>
      </c>
      <c r="E77" s="16" t="s">
        <v>376</v>
      </c>
      <c r="F77" s="16" t="s">
        <v>377</v>
      </c>
      <c r="G77" s="9" t="s">
        <v>142</v>
      </c>
      <c r="H77" s="9" t="s">
        <v>54</v>
      </c>
      <c r="I77" s="9" t="s">
        <v>474</v>
      </c>
      <c r="J77" s="9" t="s">
        <v>472</v>
      </c>
      <c r="K77" s="9" t="s">
        <v>473</v>
      </c>
      <c r="L77" s="9"/>
      <c r="M77" s="16"/>
      <c r="N77" s="16"/>
      <c r="O77" s="22" t="s">
        <v>55</v>
      </c>
    </row>
    <row r="78" spans="1:15" ht="48" customHeight="1">
      <c r="A78" s="9" t="s">
        <v>378</v>
      </c>
      <c r="B78" s="9" t="s">
        <v>4</v>
      </c>
      <c r="C78" s="28" t="s">
        <v>25</v>
      </c>
      <c r="D78" s="16" t="s">
        <v>379</v>
      </c>
      <c r="E78" s="16" t="s">
        <v>380</v>
      </c>
      <c r="F78" s="16" t="s">
        <v>381</v>
      </c>
      <c r="G78" s="9" t="s">
        <v>255</v>
      </c>
      <c r="H78" s="9" t="s">
        <v>70</v>
      </c>
      <c r="I78" s="9" t="s">
        <v>474</v>
      </c>
      <c r="J78" s="9" t="s">
        <v>472</v>
      </c>
      <c r="K78" s="9" t="s">
        <v>473</v>
      </c>
      <c r="L78" s="9"/>
      <c r="M78" s="16"/>
      <c r="N78" s="16"/>
      <c r="O78" s="22" t="s">
        <v>137</v>
      </c>
    </row>
    <row r="79" spans="1:15" ht="48" customHeight="1">
      <c r="A79" s="17" t="s">
        <v>382</v>
      </c>
      <c r="B79" s="17" t="s">
        <v>4</v>
      </c>
      <c r="C79" s="29" t="s">
        <v>26</v>
      </c>
      <c r="D79" s="19" t="s">
        <v>383</v>
      </c>
      <c r="E79" s="19" t="s">
        <v>384</v>
      </c>
      <c r="F79" s="19" t="s">
        <v>385</v>
      </c>
      <c r="G79" s="17" t="s">
        <v>160</v>
      </c>
      <c r="H79" s="17" t="s">
        <v>54</v>
      </c>
      <c r="I79" s="17" t="s">
        <v>474</v>
      </c>
      <c r="J79" s="17" t="s">
        <v>472</v>
      </c>
      <c r="K79" s="17" t="s">
        <v>473</v>
      </c>
      <c r="L79" s="17"/>
      <c r="M79" s="19"/>
      <c r="N79" s="19"/>
      <c r="O79" s="20" t="s">
        <v>85</v>
      </c>
    </row>
    <row r="80" spans="1:15" ht="48" customHeight="1">
      <c r="A80" s="9" t="s">
        <v>386</v>
      </c>
      <c r="B80" s="9" t="s">
        <v>4</v>
      </c>
      <c r="C80" s="30" t="s">
        <v>26</v>
      </c>
      <c r="D80" s="16" t="s">
        <v>387</v>
      </c>
      <c r="E80" s="16" t="s">
        <v>388</v>
      </c>
      <c r="F80" s="16" t="s">
        <v>389</v>
      </c>
      <c r="G80" s="9" t="s">
        <v>160</v>
      </c>
      <c r="H80" s="9" t="s">
        <v>54</v>
      </c>
      <c r="I80" s="9" t="s">
        <v>474</v>
      </c>
      <c r="J80" s="9" t="s">
        <v>472</v>
      </c>
      <c r="K80" s="9" t="s">
        <v>473</v>
      </c>
      <c r="L80" s="9"/>
      <c r="M80" s="16"/>
      <c r="N80" s="16"/>
      <c r="O80" s="22" t="s">
        <v>85</v>
      </c>
    </row>
    <row r="81" spans="1:15" ht="48" customHeight="1">
      <c r="A81" s="9" t="s">
        <v>390</v>
      </c>
      <c r="B81" s="9" t="s">
        <v>4</v>
      </c>
      <c r="C81" s="30" t="s">
        <v>26</v>
      </c>
      <c r="D81" s="16" t="s">
        <v>391</v>
      </c>
      <c r="E81" s="16" t="s">
        <v>392</v>
      </c>
      <c r="F81" s="16" t="s">
        <v>393</v>
      </c>
      <c r="G81" s="9" t="s">
        <v>169</v>
      </c>
      <c r="H81" s="9" t="s">
        <v>54</v>
      </c>
      <c r="I81" s="9" t="s">
        <v>474</v>
      </c>
      <c r="J81" s="9" t="s">
        <v>472</v>
      </c>
      <c r="K81" s="9" t="s">
        <v>473</v>
      </c>
      <c r="L81" s="9"/>
      <c r="M81" s="16"/>
      <c r="N81" s="16"/>
      <c r="O81" s="22" t="s">
        <v>85</v>
      </c>
    </row>
    <row r="82" spans="1:15" ht="48" customHeight="1">
      <c r="A82" s="9" t="s">
        <v>394</v>
      </c>
      <c r="B82" s="9" t="s">
        <v>4</v>
      </c>
      <c r="C82" s="30" t="s">
        <v>26</v>
      </c>
      <c r="D82" s="16" t="s">
        <v>395</v>
      </c>
      <c r="E82" s="16" t="s">
        <v>396</v>
      </c>
      <c r="F82" s="16" t="s">
        <v>397</v>
      </c>
      <c r="G82" s="9" t="s">
        <v>174</v>
      </c>
      <c r="H82" s="9" t="s">
        <v>54</v>
      </c>
      <c r="I82" s="9" t="s">
        <v>474</v>
      </c>
      <c r="J82" s="9" t="s">
        <v>472</v>
      </c>
      <c r="K82" s="9" t="s">
        <v>473</v>
      </c>
      <c r="L82" s="9"/>
      <c r="M82" s="16"/>
      <c r="N82" s="16"/>
      <c r="O82" s="22" t="s">
        <v>85</v>
      </c>
    </row>
    <row r="83" spans="1:15" ht="48" customHeight="1">
      <c r="A83" s="9" t="s">
        <v>398</v>
      </c>
      <c r="B83" s="9" t="s">
        <v>4</v>
      </c>
      <c r="C83" s="30" t="s">
        <v>26</v>
      </c>
      <c r="D83" s="16" t="s">
        <v>399</v>
      </c>
      <c r="E83" s="16" t="s">
        <v>400</v>
      </c>
      <c r="F83" s="16" t="s">
        <v>401</v>
      </c>
      <c r="G83" s="9" t="s">
        <v>174</v>
      </c>
      <c r="H83" s="9" t="s">
        <v>54</v>
      </c>
      <c r="I83" s="9" t="s">
        <v>474</v>
      </c>
      <c r="J83" s="9" t="s">
        <v>472</v>
      </c>
      <c r="K83" s="9" t="s">
        <v>473</v>
      </c>
      <c r="L83" s="9"/>
      <c r="M83" s="16"/>
      <c r="N83" s="16"/>
      <c r="O83" s="22" t="s">
        <v>85</v>
      </c>
    </row>
    <row r="84" spans="1:15" ht="48" customHeight="1">
      <c r="A84" s="9" t="s">
        <v>402</v>
      </c>
      <c r="B84" s="9" t="s">
        <v>4</v>
      </c>
      <c r="C84" s="30" t="s">
        <v>26</v>
      </c>
      <c r="D84" s="16" t="s">
        <v>403</v>
      </c>
      <c r="E84" s="16" t="s">
        <v>404</v>
      </c>
      <c r="F84" s="16" t="s">
        <v>405</v>
      </c>
      <c r="G84" s="9" t="s">
        <v>174</v>
      </c>
      <c r="H84" s="9" t="s">
        <v>70</v>
      </c>
      <c r="I84" s="9" t="s">
        <v>474</v>
      </c>
      <c r="J84" s="9" t="s">
        <v>472</v>
      </c>
      <c r="K84" s="9" t="s">
        <v>473</v>
      </c>
      <c r="L84" s="9"/>
      <c r="M84" s="16"/>
      <c r="N84" s="16"/>
      <c r="O84" s="22" t="s">
        <v>85</v>
      </c>
    </row>
    <row r="85" spans="1:15" ht="48" customHeight="1">
      <c r="A85" s="9" t="s">
        <v>406</v>
      </c>
      <c r="B85" s="9" t="s">
        <v>4</v>
      </c>
      <c r="C85" s="30" t="s">
        <v>26</v>
      </c>
      <c r="D85" s="16" t="s">
        <v>189</v>
      </c>
      <c r="E85" s="16" t="s">
        <v>407</v>
      </c>
      <c r="F85" s="16" t="s">
        <v>408</v>
      </c>
      <c r="G85" s="9" t="s">
        <v>174</v>
      </c>
      <c r="H85" s="9" t="s">
        <v>70</v>
      </c>
      <c r="I85" s="9" t="s">
        <v>474</v>
      </c>
      <c r="J85" s="9" t="s">
        <v>472</v>
      </c>
      <c r="K85" s="9" t="s">
        <v>473</v>
      </c>
      <c r="L85" s="9"/>
      <c r="M85" s="16"/>
      <c r="N85" s="16"/>
      <c r="O85" s="22" t="s">
        <v>137</v>
      </c>
    </row>
    <row r="86" spans="1:15" ht="48" customHeight="1">
      <c r="A86" s="17" t="s">
        <v>409</v>
      </c>
      <c r="B86" s="17" t="s">
        <v>4</v>
      </c>
      <c r="C86" s="31" t="s">
        <v>27</v>
      </c>
      <c r="D86" s="19" t="s">
        <v>410</v>
      </c>
      <c r="E86" s="19" t="s">
        <v>411</v>
      </c>
      <c r="F86" s="19" t="s">
        <v>412</v>
      </c>
      <c r="G86" s="17" t="s">
        <v>196</v>
      </c>
      <c r="H86" s="17" t="s">
        <v>70</v>
      </c>
      <c r="I86" s="17" t="s">
        <v>474</v>
      </c>
      <c r="J86" s="17" t="s">
        <v>472</v>
      </c>
      <c r="K86" s="17" t="s">
        <v>473</v>
      </c>
      <c r="L86" s="17"/>
      <c r="M86" s="19"/>
      <c r="N86" s="19"/>
      <c r="O86" s="20" t="s">
        <v>64</v>
      </c>
    </row>
    <row r="87" spans="1:15" ht="48" customHeight="1">
      <c r="A87" s="9" t="s">
        <v>413</v>
      </c>
      <c r="B87" s="9" t="s">
        <v>4</v>
      </c>
      <c r="C87" s="32" t="s">
        <v>27</v>
      </c>
      <c r="D87" s="16" t="s">
        <v>414</v>
      </c>
      <c r="E87" s="16" t="s">
        <v>415</v>
      </c>
      <c r="F87" s="16" t="s">
        <v>416</v>
      </c>
      <c r="G87" s="9" t="s">
        <v>201</v>
      </c>
      <c r="H87" s="9" t="s">
        <v>70</v>
      </c>
      <c r="I87" s="9" t="s">
        <v>474</v>
      </c>
      <c r="J87" s="9" t="s">
        <v>472</v>
      </c>
      <c r="K87" s="9" t="s">
        <v>473</v>
      </c>
      <c r="L87" s="9"/>
      <c r="M87" s="16"/>
      <c r="N87" s="16"/>
      <c r="O87" s="22" t="s">
        <v>64</v>
      </c>
    </row>
    <row r="88" spans="1:15" ht="48" customHeight="1">
      <c r="A88" s="9" t="s">
        <v>417</v>
      </c>
      <c r="B88" s="9" t="s">
        <v>4</v>
      </c>
      <c r="C88" s="32" t="s">
        <v>27</v>
      </c>
      <c r="D88" s="16" t="s">
        <v>418</v>
      </c>
      <c r="E88" s="16" t="s">
        <v>419</v>
      </c>
      <c r="F88" s="16" t="s">
        <v>420</v>
      </c>
      <c r="G88" s="9" t="s">
        <v>206</v>
      </c>
      <c r="H88" s="9" t="s">
        <v>70</v>
      </c>
      <c r="I88" s="9" t="s">
        <v>474</v>
      </c>
      <c r="J88" s="9" t="s">
        <v>472</v>
      </c>
      <c r="K88" s="9" t="s">
        <v>473</v>
      </c>
      <c r="L88" s="9"/>
      <c r="M88" s="16"/>
      <c r="N88" s="16"/>
      <c r="O88" s="22" t="s">
        <v>64</v>
      </c>
    </row>
    <row r="89" spans="1:15" ht="48" customHeight="1">
      <c r="A89" s="9" t="s">
        <v>421</v>
      </c>
      <c r="B89" s="9" t="s">
        <v>4</v>
      </c>
      <c r="C89" s="32" t="s">
        <v>27</v>
      </c>
      <c r="D89" s="16" t="s">
        <v>422</v>
      </c>
      <c r="E89" s="16" t="s">
        <v>423</v>
      </c>
      <c r="F89" s="16" t="s">
        <v>424</v>
      </c>
      <c r="G89" s="9" t="s">
        <v>211</v>
      </c>
      <c r="H89" s="9" t="s">
        <v>54</v>
      </c>
      <c r="I89" s="9" t="s">
        <v>474</v>
      </c>
      <c r="J89" s="9" t="s">
        <v>472</v>
      </c>
      <c r="K89" s="9" t="s">
        <v>473</v>
      </c>
      <c r="L89" s="9"/>
      <c r="M89" s="16"/>
      <c r="N89" s="16"/>
      <c r="O89" s="22" t="s">
        <v>64</v>
      </c>
    </row>
    <row r="90" spans="1:15" ht="48" customHeight="1">
      <c r="A90" s="9" t="s">
        <v>425</v>
      </c>
      <c r="B90" s="9" t="s">
        <v>4</v>
      </c>
      <c r="C90" s="32" t="s">
        <v>27</v>
      </c>
      <c r="D90" s="16" t="s">
        <v>426</v>
      </c>
      <c r="E90" s="16" t="s">
        <v>427</v>
      </c>
      <c r="F90" s="16" t="s">
        <v>428</v>
      </c>
      <c r="G90" s="9" t="s">
        <v>216</v>
      </c>
      <c r="H90" s="9" t="s">
        <v>54</v>
      </c>
      <c r="I90" s="9" t="s">
        <v>474</v>
      </c>
      <c r="J90" s="9" t="s">
        <v>472</v>
      </c>
      <c r="K90" s="9" t="s">
        <v>473</v>
      </c>
      <c r="L90" s="9"/>
      <c r="M90" s="16"/>
      <c r="N90" s="16"/>
      <c r="O90" s="22" t="s">
        <v>137</v>
      </c>
    </row>
    <row r="91" spans="1:15" ht="48" customHeight="1">
      <c r="A91" s="9" t="s">
        <v>429</v>
      </c>
      <c r="B91" s="9" t="s">
        <v>4</v>
      </c>
      <c r="C91" s="32" t="s">
        <v>27</v>
      </c>
      <c r="D91" s="16" t="s">
        <v>430</v>
      </c>
      <c r="E91" s="16" t="s">
        <v>431</v>
      </c>
      <c r="F91" s="16" t="s">
        <v>432</v>
      </c>
      <c r="G91" s="9" t="s">
        <v>221</v>
      </c>
      <c r="H91" s="9" t="s">
        <v>70</v>
      </c>
      <c r="I91" s="9" t="s">
        <v>474</v>
      </c>
      <c r="J91" s="9" t="s">
        <v>472</v>
      </c>
      <c r="K91" s="9" t="s">
        <v>473</v>
      </c>
      <c r="L91" s="9"/>
      <c r="M91" s="16"/>
      <c r="N91" s="16"/>
      <c r="O91" s="22" t="s">
        <v>85</v>
      </c>
    </row>
    <row r="92" spans="1:15" ht="48" customHeight="1">
      <c r="A92" s="17" t="s">
        <v>433</v>
      </c>
      <c r="B92" s="17" t="s">
        <v>4</v>
      </c>
      <c r="C92" s="23" t="s">
        <v>28</v>
      </c>
      <c r="D92" s="19" t="s">
        <v>434</v>
      </c>
      <c r="E92" s="19" t="s">
        <v>435</v>
      </c>
      <c r="F92" s="19" t="s">
        <v>436</v>
      </c>
      <c r="G92" s="17" t="s">
        <v>226</v>
      </c>
      <c r="H92" s="17" t="s">
        <v>227</v>
      </c>
      <c r="I92" s="17" t="s">
        <v>474</v>
      </c>
      <c r="J92" s="17" t="s">
        <v>472</v>
      </c>
      <c r="K92" s="17" t="s">
        <v>473</v>
      </c>
      <c r="L92" s="17"/>
      <c r="M92" s="19"/>
      <c r="N92" s="19"/>
      <c r="O92" s="20" t="s">
        <v>55</v>
      </c>
    </row>
    <row r="93" spans="1:15" ht="48" customHeight="1">
      <c r="A93" s="9" t="s">
        <v>437</v>
      </c>
      <c r="B93" s="9" t="s">
        <v>4</v>
      </c>
      <c r="C93" s="24" t="s">
        <v>28</v>
      </c>
      <c r="D93" s="16" t="s">
        <v>438</v>
      </c>
      <c r="E93" s="16" t="s">
        <v>439</v>
      </c>
      <c r="F93" s="16" t="s">
        <v>440</v>
      </c>
      <c r="G93" s="9" t="s">
        <v>226</v>
      </c>
      <c r="H93" s="9" t="s">
        <v>227</v>
      </c>
      <c r="I93" s="9" t="s">
        <v>474</v>
      </c>
      <c r="J93" s="9" t="s">
        <v>472</v>
      </c>
      <c r="K93" s="9" t="s">
        <v>473</v>
      </c>
      <c r="L93" s="9"/>
      <c r="M93" s="16"/>
      <c r="N93" s="16"/>
      <c r="O93" s="22" t="s">
        <v>55</v>
      </c>
    </row>
    <row r="94" spans="1:15" ht="48" customHeight="1">
      <c r="A94" s="17" t="s">
        <v>441</v>
      </c>
      <c r="B94" s="17" t="s">
        <v>4</v>
      </c>
      <c r="C94" s="27" t="s">
        <v>29</v>
      </c>
      <c r="D94" s="19" t="s">
        <v>442</v>
      </c>
      <c r="E94" s="19" t="s">
        <v>443</v>
      </c>
      <c r="F94" s="19" t="s">
        <v>444</v>
      </c>
      <c r="G94" s="17" t="s">
        <v>236</v>
      </c>
      <c r="H94" s="17" t="s">
        <v>54</v>
      </c>
      <c r="I94" s="17" t="s">
        <v>474</v>
      </c>
      <c r="J94" s="17" t="s">
        <v>472</v>
      </c>
      <c r="K94" s="17" t="s">
        <v>473</v>
      </c>
      <c r="L94" s="17"/>
      <c r="M94" s="19"/>
      <c r="N94" s="19"/>
      <c r="O94" s="20" t="s">
        <v>85</v>
      </c>
    </row>
    <row r="95" spans="1:15" ht="48" customHeight="1">
      <c r="A95" s="9" t="s">
        <v>445</v>
      </c>
      <c r="B95" s="9" t="s">
        <v>4</v>
      </c>
      <c r="C95" s="28" t="s">
        <v>29</v>
      </c>
      <c r="D95" s="16" t="s">
        <v>446</v>
      </c>
      <c r="E95" s="16" t="s">
        <v>447</v>
      </c>
      <c r="F95" s="16" t="s">
        <v>448</v>
      </c>
      <c r="G95" s="9" t="s">
        <v>53</v>
      </c>
      <c r="H95" s="9" t="s">
        <v>54</v>
      </c>
      <c r="I95" s="9" t="s">
        <v>471</v>
      </c>
      <c r="J95" s="9" t="s">
        <v>472</v>
      </c>
      <c r="K95" s="9" t="s">
        <v>473</v>
      </c>
      <c r="L95" s="9"/>
      <c r="M95" s="16"/>
      <c r="N95" s="16"/>
      <c r="O95" s="22" t="s">
        <v>85</v>
      </c>
    </row>
    <row r="96" spans="1:15" ht="48" customHeight="1">
      <c r="A96" s="9" t="s">
        <v>449</v>
      </c>
      <c r="B96" s="9" t="s">
        <v>4</v>
      </c>
      <c r="C96" s="28" t="s">
        <v>29</v>
      </c>
      <c r="D96" s="16" t="s">
        <v>450</v>
      </c>
      <c r="E96" s="16" t="s">
        <v>451</v>
      </c>
      <c r="F96" s="16" t="s">
        <v>452</v>
      </c>
      <c r="G96" s="9" t="s">
        <v>245</v>
      </c>
      <c r="H96" s="9" t="s">
        <v>70</v>
      </c>
      <c r="I96" s="9" t="s">
        <v>474</v>
      </c>
      <c r="J96" s="9" t="s">
        <v>472</v>
      </c>
      <c r="K96" s="9" t="s">
        <v>473</v>
      </c>
      <c r="L96" s="9"/>
      <c r="M96" s="16"/>
      <c r="N96" s="16"/>
      <c r="O96" s="22" t="s">
        <v>64</v>
      </c>
    </row>
    <row r="97" spans="1:15" ht="48" customHeight="1">
      <c r="A97" s="9" t="s">
        <v>453</v>
      </c>
      <c r="B97" s="9" t="s">
        <v>4</v>
      </c>
      <c r="C97" s="28" t="s">
        <v>29</v>
      </c>
      <c r="D97" s="16" t="s">
        <v>454</v>
      </c>
      <c r="E97" s="16" t="s">
        <v>455</v>
      </c>
      <c r="F97" s="16" t="s">
        <v>456</v>
      </c>
      <c r="G97" s="9" t="s">
        <v>250</v>
      </c>
      <c r="H97" s="9" t="s">
        <v>70</v>
      </c>
      <c r="I97" s="9" t="s">
        <v>474</v>
      </c>
      <c r="J97" s="9" t="s">
        <v>472</v>
      </c>
      <c r="K97" s="9" t="s">
        <v>473</v>
      </c>
      <c r="L97" s="9"/>
      <c r="M97" s="16"/>
      <c r="N97" s="16"/>
      <c r="O97" s="22" t="s">
        <v>55</v>
      </c>
    </row>
    <row r="98" spans="1:15" ht="48" customHeight="1">
      <c r="A98" s="9" t="s">
        <v>457</v>
      </c>
      <c r="B98" s="9" t="s">
        <v>4</v>
      </c>
      <c r="C98" s="28" t="s">
        <v>29</v>
      </c>
      <c r="D98" s="16" t="s">
        <v>458</v>
      </c>
      <c r="E98" s="16" t="s">
        <v>459</v>
      </c>
      <c r="F98" s="16" t="s">
        <v>460</v>
      </c>
      <c r="G98" s="9" t="s">
        <v>255</v>
      </c>
      <c r="H98" s="9" t="s">
        <v>70</v>
      </c>
      <c r="I98" s="9" t="s">
        <v>474</v>
      </c>
      <c r="J98" s="9" t="s">
        <v>472</v>
      </c>
      <c r="K98" s="9" t="s">
        <v>473</v>
      </c>
      <c r="L98" s="9"/>
      <c r="M98" s="16"/>
      <c r="N98" s="16"/>
      <c r="O98" s="22" t="s">
        <v>137</v>
      </c>
    </row>
  </sheetData>
  <autoFilter ref="A4:O98"/>
  <mergeCells count="3">
    <mergeCell ref="A1:O1"/>
    <mergeCell ref="A2:O2"/>
    <mergeCell ref="A3:O3"/>
  </mergeCells>
  <conditionalFormatting sqref="I5:I98">
    <cfRule type="containsText" dxfId="0" priority="1" operator="containsText" text="검토 필요">
      <formula>NOT(ISERROR(SEARCH("검토 필요",I5)))</formula>
    </cfRule>
  </conditionalFormatting>
  <conditionalFormatting sqref="J5:J98">
    <cfRule type="containsText" dxfId="1" priority="2" operator="containsText" text="완료">
      <formula>NOT(ISERROR(SEARCH("완료",J5)))</formula>
    </cfRule>
  </conditionalFormatting>
  <conditionalFormatting sqref="K5:K98">
    <cfRule type="containsText" dxfId="2" priority="3" operator="containsText" text="Pass">
      <formula>NOT(ISERROR(SEARCH("Pass",K5)))</formula>
    </cfRule>
    <cfRule type="containsText" dxfId="3" priority="4" operator="containsText" text="Fail">
      <formula>NOT(ISERROR(SEARCH("Fail",K5)))</formula>
    </cfRule>
  </conditionalFormatting>
  <dataValidations count="3">
    <dataValidation type="list" allowBlank="1" showInputMessage="1" showErrorMessage="1" sqref="I5:I98">
      <formula1>"적용,비적용,검토 필요"</formula1>
    </dataValidation>
    <dataValidation type="list" allowBlank="1" showInputMessage="1" showErrorMessage="1" sqref="J5:J98">
      <formula1>"미실행,진행중,완료,보류"</formula1>
    </dataValidation>
    <dataValidation type="list" allowBlank="1" showInputMessage="1" showErrorMessage="1" sqref="K5:K98">
      <formula1>"미판정,Pass,Fail,N/A"</formula1>
    </dataValidation>
  </dataValidations>
  <hyperlinks>
    <hyperlink ref="O5" r:id="rId1"/>
    <hyperlink ref="O6" r:id="rId2"/>
    <hyperlink ref="O7" r:id="rId3"/>
    <hyperlink ref="O8" r:id="rId4"/>
    <hyperlink ref="O9" r:id="rId5"/>
    <hyperlink ref="O10" r:id="rId6"/>
    <hyperlink ref="O11" r:id="rId7"/>
    <hyperlink ref="O12" r:id="rId8"/>
    <hyperlink ref="O13" r:id="rId9"/>
    <hyperlink ref="O14" r:id="rId10"/>
    <hyperlink ref="O15" r:id="rId11"/>
    <hyperlink ref="O16" r:id="rId12"/>
    <hyperlink ref="O17" r:id="rId13"/>
    <hyperlink ref="O18" r:id="rId14"/>
    <hyperlink ref="O19" r:id="rId15"/>
    <hyperlink ref="O20" r:id="rId16"/>
    <hyperlink ref="O21" r:id="rId17"/>
    <hyperlink ref="O22" r:id="rId18"/>
    <hyperlink ref="O23" r:id="rId19"/>
    <hyperlink ref="O24" r:id="rId20"/>
    <hyperlink ref="O25" r:id="rId21"/>
    <hyperlink ref="O26" r:id="rId22"/>
    <hyperlink ref="O27" r:id="rId23"/>
    <hyperlink ref="O28" r:id="rId24"/>
    <hyperlink ref="O29" r:id="rId25"/>
    <hyperlink ref="O30" r:id="rId26"/>
    <hyperlink ref="O31" r:id="rId27"/>
    <hyperlink ref="O32" r:id="rId28"/>
    <hyperlink ref="O33" r:id="rId29"/>
    <hyperlink ref="O34" r:id="rId30"/>
    <hyperlink ref="O35" r:id="rId31"/>
    <hyperlink ref="O36" r:id="rId32"/>
    <hyperlink ref="O37" r:id="rId33"/>
    <hyperlink ref="O38" r:id="rId34"/>
    <hyperlink ref="O39" r:id="rId35"/>
    <hyperlink ref="O40" r:id="rId36"/>
    <hyperlink ref="O41" r:id="rId37"/>
    <hyperlink ref="O42" r:id="rId38"/>
    <hyperlink ref="O43" r:id="rId39"/>
    <hyperlink ref="O44" r:id="rId40"/>
    <hyperlink ref="O45" r:id="rId41"/>
    <hyperlink ref="O46" r:id="rId42"/>
    <hyperlink ref="O47" r:id="rId43"/>
    <hyperlink ref="O48" r:id="rId44"/>
    <hyperlink ref="O49" r:id="rId45"/>
    <hyperlink ref="O50" r:id="rId46"/>
    <hyperlink ref="O51" r:id="rId47"/>
    <hyperlink ref="O52" r:id="rId48"/>
    <hyperlink ref="O53" r:id="rId49"/>
    <hyperlink ref="O54" r:id="rId50"/>
    <hyperlink ref="O55" r:id="rId51"/>
    <hyperlink ref="O56" r:id="rId52"/>
    <hyperlink ref="O57" r:id="rId53"/>
    <hyperlink ref="O58" r:id="rId54"/>
    <hyperlink ref="O59" r:id="rId55"/>
    <hyperlink ref="O60" r:id="rId56"/>
    <hyperlink ref="O61" r:id="rId57"/>
    <hyperlink ref="O62" r:id="rId58"/>
    <hyperlink ref="O63" r:id="rId59"/>
    <hyperlink ref="O64" r:id="rId60"/>
    <hyperlink ref="O65" r:id="rId61"/>
    <hyperlink ref="O66" r:id="rId62"/>
    <hyperlink ref="O67" r:id="rId63"/>
    <hyperlink ref="O68" r:id="rId64"/>
    <hyperlink ref="O69" r:id="rId65"/>
    <hyperlink ref="O70" r:id="rId66"/>
    <hyperlink ref="O71" r:id="rId67"/>
    <hyperlink ref="O72" r:id="rId68"/>
    <hyperlink ref="O73" r:id="rId69"/>
    <hyperlink ref="O74" r:id="rId70"/>
    <hyperlink ref="O75" r:id="rId71"/>
    <hyperlink ref="O76" r:id="rId72"/>
    <hyperlink ref="O77" r:id="rId73"/>
    <hyperlink ref="O78" r:id="rId74"/>
    <hyperlink ref="O79" r:id="rId75"/>
    <hyperlink ref="O80" r:id="rId76"/>
    <hyperlink ref="O81" r:id="rId77"/>
    <hyperlink ref="O82" r:id="rId78"/>
    <hyperlink ref="O83" r:id="rId79"/>
    <hyperlink ref="O84" r:id="rId80"/>
    <hyperlink ref="O85" r:id="rId81"/>
    <hyperlink ref="O86" r:id="rId82"/>
    <hyperlink ref="O87" r:id="rId83"/>
    <hyperlink ref="O88" r:id="rId84"/>
    <hyperlink ref="O89" r:id="rId85"/>
    <hyperlink ref="O90" r:id="rId86"/>
    <hyperlink ref="O91" r:id="rId87"/>
    <hyperlink ref="O92" r:id="rId88"/>
    <hyperlink ref="O93" r:id="rId89"/>
    <hyperlink ref="O94" r:id="rId90"/>
    <hyperlink ref="O95" r:id="rId91"/>
    <hyperlink ref="O96" r:id="rId92"/>
    <hyperlink ref="O97" r:id="rId93"/>
    <hyperlink ref="O98" r:id="rId94"/>
  </hyperlinks>
  <pageMargins left="0.25" right="0.25" top="0.35" bottom="0.35" header="0.3" footer="0.3"/>
  <pageSetup paperSize="8" fitToHeight="0" orientation="landscape"/>
  <headerFooter>
    <oddHeader>&amp;C&amp;"Apple SD Gothic Neo,Bold"MIPI DSI v1.3.1 CTS 요약</oddHeader>
    <oddFooter>&amp;L공개 범위 기반 체크리스트&amp;RPage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F6B78"/>
    <pageSetUpPr fitToPage="1"/>
  </sheetPr>
  <dimension ref="A1:F28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4.7109375" customWidth="1"/>
    <col min="2" max="2" width="24.7109375" customWidth="1"/>
    <col min="3" max="3" width="52.7109375" customWidth="1"/>
    <col min="4" max="4" width="62.7109375" customWidth="1"/>
    <col min="5" max="5" width="35.7109375" customWidth="1"/>
    <col min="6" max="6" width="15.7109375" customWidth="1"/>
  </cols>
  <sheetData>
    <row r="1" spans="1:6" ht="31" customHeight="1">
      <c r="A1" s="1" t="s">
        <v>475</v>
      </c>
      <c r="B1" s="1"/>
      <c r="C1" s="1"/>
      <c r="D1" s="1"/>
      <c r="E1" s="1"/>
      <c r="F1" s="1"/>
    </row>
    <row r="2" spans="1:6" ht="38" customHeight="1">
      <c r="A2" s="2" t="s">
        <v>476</v>
      </c>
      <c r="B2" s="2"/>
      <c r="C2" s="2"/>
      <c r="D2" s="2"/>
      <c r="E2" s="2"/>
      <c r="F2" s="2"/>
    </row>
    <row r="4" spans="1:6">
      <c r="A4" s="7" t="s">
        <v>477</v>
      </c>
      <c r="B4" s="7"/>
      <c r="C4" s="7"/>
      <c r="D4" s="7"/>
      <c r="E4" s="7"/>
      <c r="F4" s="7"/>
    </row>
    <row r="5" spans="1:6">
      <c r="A5" s="8" t="s">
        <v>478</v>
      </c>
      <c r="B5" s="8" t="s">
        <v>479</v>
      </c>
      <c r="C5" s="8" t="s">
        <v>480</v>
      </c>
      <c r="D5" s="8" t="s">
        <v>481</v>
      </c>
      <c r="E5" s="8" t="s">
        <v>482</v>
      </c>
      <c r="F5" s="8" t="s">
        <v>483</v>
      </c>
    </row>
    <row r="6" spans="1:6" ht="57" customHeight="1">
      <c r="A6" s="9" t="s">
        <v>484</v>
      </c>
      <c r="B6" s="9" t="s">
        <v>485</v>
      </c>
      <c r="C6" s="16" t="s">
        <v>486</v>
      </c>
      <c r="D6" s="22" t="s">
        <v>55</v>
      </c>
      <c r="E6" s="16" t="s">
        <v>487</v>
      </c>
      <c r="F6" s="9" t="s">
        <v>488</v>
      </c>
    </row>
    <row r="7" spans="1:6" ht="57" customHeight="1">
      <c r="A7" s="9" t="s">
        <v>489</v>
      </c>
      <c r="B7" s="9" t="s">
        <v>490</v>
      </c>
      <c r="C7" s="16" t="s">
        <v>491</v>
      </c>
      <c r="D7" s="22" t="s">
        <v>85</v>
      </c>
      <c r="E7" s="16" t="s">
        <v>492</v>
      </c>
      <c r="F7" s="9" t="s">
        <v>488</v>
      </c>
    </row>
    <row r="8" spans="1:6" ht="57" customHeight="1">
      <c r="A8" s="9" t="s">
        <v>493</v>
      </c>
      <c r="B8" s="9" t="s">
        <v>494</v>
      </c>
      <c r="C8" s="16" t="s">
        <v>495</v>
      </c>
      <c r="D8" s="22" t="s">
        <v>64</v>
      </c>
      <c r="E8" s="16" t="s">
        <v>496</v>
      </c>
      <c r="F8" s="9" t="s">
        <v>488</v>
      </c>
    </row>
    <row r="9" spans="1:6" ht="57" customHeight="1">
      <c r="A9" s="9" t="s">
        <v>497</v>
      </c>
      <c r="B9" s="9" t="s">
        <v>498</v>
      </c>
      <c r="C9" s="16" t="s">
        <v>499</v>
      </c>
      <c r="D9" s="22" t="s">
        <v>137</v>
      </c>
      <c r="E9" s="16" t="s">
        <v>500</v>
      </c>
      <c r="F9" s="9" t="s">
        <v>488</v>
      </c>
    </row>
    <row r="12" spans="1:6">
      <c r="A12" s="7" t="s">
        <v>501</v>
      </c>
      <c r="B12" s="7"/>
      <c r="C12" s="7"/>
      <c r="D12" s="7"/>
      <c r="E12" s="7"/>
      <c r="F12" s="7"/>
    </row>
    <row r="13" spans="1:6">
      <c r="A13" s="8" t="s">
        <v>502</v>
      </c>
      <c r="B13" s="8" t="s">
        <v>503</v>
      </c>
      <c r="C13" s="8" t="s">
        <v>504</v>
      </c>
      <c r="D13" s="8" t="s">
        <v>505</v>
      </c>
      <c r="E13" s="8"/>
      <c r="F13" s="8"/>
    </row>
    <row r="14" spans="1:6" ht="39" customHeight="1">
      <c r="A14" s="3" t="s">
        <v>31</v>
      </c>
      <c r="B14" s="16" t="s">
        <v>506</v>
      </c>
      <c r="C14" s="16" t="s">
        <v>507</v>
      </c>
      <c r="D14" s="16" t="s">
        <v>508</v>
      </c>
      <c r="E14" s="16"/>
      <c r="F14" s="16"/>
    </row>
    <row r="15" spans="1:6" ht="39" customHeight="1">
      <c r="A15" s="3" t="s">
        <v>33</v>
      </c>
      <c r="B15" s="16" t="s">
        <v>509</v>
      </c>
      <c r="C15" s="16" t="s">
        <v>510</v>
      </c>
      <c r="D15" s="16" t="s">
        <v>511</v>
      </c>
      <c r="E15" s="16"/>
      <c r="F15" s="16"/>
    </row>
    <row r="16" spans="1:6" ht="39" customHeight="1">
      <c r="A16" s="3" t="s">
        <v>512</v>
      </c>
      <c r="B16" s="16" t="s">
        <v>513</v>
      </c>
      <c r="C16" s="16" t="s">
        <v>514</v>
      </c>
      <c r="D16" s="16" t="s">
        <v>515</v>
      </c>
      <c r="E16" s="16"/>
      <c r="F16" s="16"/>
    </row>
    <row r="17" spans="1:6" ht="39" customHeight="1">
      <c r="A17" s="3" t="s">
        <v>516</v>
      </c>
      <c r="B17" s="16" t="s">
        <v>517</v>
      </c>
      <c r="C17" s="16" t="s">
        <v>518</v>
      </c>
      <c r="D17" s="16" t="s">
        <v>519</v>
      </c>
      <c r="E17" s="16"/>
      <c r="F17" s="16"/>
    </row>
    <row r="20" spans="1:6">
      <c r="A20" s="7" t="s">
        <v>520</v>
      </c>
      <c r="B20" s="7"/>
      <c r="C20" s="7"/>
      <c r="D20" s="7"/>
      <c r="E20" s="7"/>
      <c r="F20" s="7"/>
    </row>
    <row r="21" spans="1:6">
      <c r="A21" s="8" t="s">
        <v>520</v>
      </c>
      <c r="B21" s="8" t="s">
        <v>521</v>
      </c>
      <c r="C21" s="8"/>
      <c r="D21" s="8"/>
      <c r="E21" s="8"/>
      <c r="F21" s="8"/>
    </row>
    <row r="22" spans="1:6" ht="34" customHeight="1">
      <c r="A22" s="3" t="s">
        <v>13</v>
      </c>
      <c r="B22" s="16" t="s">
        <v>522</v>
      </c>
      <c r="C22" s="16"/>
      <c r="D22" s="16"/>
      <c r="E22" s="16"/>
      <c r="F22" s="16"/>
    </row>
    <row r="23" spans="1:6" ht="34" customHeight="1">
      <c r="A23" s="3" t="s">
        <v>523</v>
      </c>
      <c r="B23" s="16" t="s">
        <v>524</v>
      </c>
      <c r="C23" s="16"/>
      <c r="D23" s="16"/>
      <c r="E23" s="16"/>
      <c r="F23" s="16"/>
    </row>
    <row r="24" spans="1:6" ht="34" customHeight="1">
      <c r="A24" s="3" t="s">
        <v>94</v>
      </c>
      <c r="B24" s="16" t="s">
        <v>525</v>
      </c>
      <c r="C24" s="16"/>
      <c r="D24" s="16"/>
      <c r="E24" s="16"/>
      <c r="F24" s="16"/>
    </row>
    <row r="25" spans="1:6" ht="34" customHeight="1">
      <c r="A25" s="3" t="s">
        <v>526</v>
      </c>
      <c r="B25" s="16" t="s">
        <v>527</v>
      </c>
      <c r="C25" s="16"/>
      <c r="D25" s="16"/>
      <c r="E25" s="16"/>
      <c r="F25" s="16"/>
    </row>
    <row r="26" spans="1:6" ht="34" customHeight="1">
      <c r="A26" s="3" t="s">
        <v>528</v>
      </c>
      <c r="B26" s="16" t="s">
        <v>529</v>
      </c>
      <c r="C26" s="16"/>
      <c r="D26" s="16"/>
      <c r="E26" s="16"/>
      <c r="F26" s="16"/>
    </row>
    <row r="27" spans="1:6" ht="34" customHeight="1">
      <c r="A27" s="3" t="s">
        <v>530</v>
      </c>
      <c r="B27" s="16" t="s">
        <v>531</v>
      </c>
      <c r="C27" s="16"/>
      <c r="D27" s="16"/>
      <c r="E27" s="16"/>
      <c r="F27" s="16"/>
    </row>
    <row r="28" spans="1:6" ht="34" customHeight="1">
      <c r="A28" s="3" t="s">
        <v>532</v>
      </c>
      <c r="B28" s="16" t="s">
        <v>533</v>
      </c>
      <c r="C28" s="16"/>
      <c r="D28" s="16"/>
      <c r="E28" s="16"/>
      <c r="F28" s="16"/>
    </row>
  </sheetData>
  <mergeCells count="16">
    <mergeCell ref="A1:F1"/>
    <mergeCell ref="A2:F2"/>
    <mergeCell ref="A4:F4"/>
    <mergeCell ref="A12:F12"/>
    <mergeCell ref="D14:F14"/>
    <mergeCell ref="D15:F15"/>
    <mergeCell ref="D16:F16"/>
    <mergeCell ref="D17:F17"/>
    <mergeCell ref="A20:F20"/>
    <mergeCell ref="B22:F22"/>
    <mergeCell ref="B23:F23"/>
    <mergeCell ref="B24:F24"/>
    <mergeCell ref="B25:F25"/>
    <mergeCell ref="B26:F26"/>
    <mergeCell ref="B27:F27"/>
    <mergeCell ref="B28:F28"/>
  </mergeCells>
  <hyperlinks>
    <hyperlink ref="D6" r:id="rId1"/>
    <hyperlink ref="D7" r:id="rId2"/>
    <hyperlink ref="D8" r:id="rId3"/>
    <hyperlink ref="D9" r:id="rId4"/>
  </hyperlinks>
  <pageMargins left="0.3" right="0.3" top="0.4" bottom="0.4" header="0.3" footer="0.3"/>
  <pageSetup paperSize="8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8</vt:i4>
      </vt:variant>
    </vt:vector>
  </HeadingPairs>
  <TitlesOfParts>
    <vt:vector size="13" baseType="lpstr">
      <vt:lpstr>요약</vt:lpstr>
      <vt:lpstr>송신기_Tx</vt:lpstr>
      <vt:lpstr>수신기_Rx</vt:lpstr>
      <vt:lpstr>실행_체크리스트</vt:lpstr>
      <vt:lpstr>범위_출처</vt:lpstr>
      <vt:lpstr>범위_출처!Print_Area</vt:lpstr>
      <vt:lpstr>송신기_Tx!Print_Area</vt:lpstr>
      <vt:lpstr>수신기_Rx!Print_Area</vt:lpstr>
      <vt:lpstr>실행_체크리스트!Print_Area</vt:lpstr>
      <vt:lpstr>요약!Print_Area</vt:lpstr>
      <vt:lpstr>송신기_Tx!Print_Titles</vt:lpstr>
      <vt:lpstr>수신기_Rx!Print_Titles</vt:lpstr>
      <vt:lpstr>실행_체크리스트!Print_Titles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MIPI DSI v1.3.1 CTS 공개 범위 기반 테스트 체크리스트</dc:title>
  <dc:subject>MIPI DSI v1.3.1 Transmitter/Receiver Protocol CTS 요약</dc:subject>
  <dc:creator>OpenAI Codex</dc:creator>
  <dc:description>공식 CTS 원문의 Test ID, 절차 및 판정 기준을 대체하지 않는 공개 근거 기반 실무 체크리스트</dc:description>
  <cp:lastModifiedBy>OpenAI Codex</cp:lastModifiedBy>
  <dcterms:created xsi:type="dcterms:W3CDTF">2026-07-30T02:19:23Z</dcterms:created>
  <dcterms:modified xsi:type="dcterms:W3CDTF">2026-07-30T02:19:23Z</dcterms:modified>
</cp:coreProperties>
</file>